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https://d.docs.live.net/46f276d279c98754/HEO_Pyrochlore_antisite/github_files/"/>
    </mc:Choice>
  </mc:AlternateContent>
  <xr:revisionPtr revIDLastSave="42" documentId="14_{1EB9972F-1F0B-4100-8468-B8883407A513}" xr6:coauthVersionLast="47" xr6:coauthVersionMax="47" xr10:uidLastSave="{CE73F6F2-439E-0B46-A751-F5B2F4C66628}"/>
  <bookViews>
    <workbookView xWindow="0" yWindow="660" windowWidth="30240" windowHeight="17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1" l="1"/>
  <c r="AA102" i="1"/>
  <c r="AB102" i="1" s="1"/>
  <c r="AE102" i="1"/>
  <c r="AF102" i="1" s="1"/>
  <c r="AG102" i="1"/>
  <c r="AH102" i="1" s="1"/>
  <c r="AI102" i="1"/>
  <c r="AJ102" i="1" s="1"/>
  <c r="AA103" i="1"/>
  <c r="AB103" i="1" s="1"/>
  <c r="AE103" i="1"/>
  <c r="AF103" i="1" s="1"/>
  <c r="AG103" i="1"/>
  <c r="AH103" i="1" s="1"/>
  <c r="AI103" i="1"/>
  <c r="AJ103" i="1" s="1"/>
  <c r="AA104" i="1"/>
  <c r="AB104" i="1" s="1"/>
  <c r="AE104" i="1"/>
  <c r="AF104" i="1" s="1"/>
  <c r="AG104" i="1"/>
  <c r="AH104" i="1" s="1"/>
  <c r="AI104" i="1"/>
  <c r="AJ104" i="1" s="1"/>
  <c r="AA105" i="1"/>
  <c r="AB105" i="1" s="1"/>
  <c r="AE105" i="1"/>
  <c r="AF105" i="1" s="1"/>
  <c r="AG105" i="1"/>
  <c r="AH105" i="1"/>
  <c r="AI105" i="1"/>
  <c r="AJ105" i="1" s="1"/>
  <c r="AA106" i="1"/>
  <c r="AB106" i="1" s="1"/>
  <c r="AE106" i="1"/>
  <c r="AF106" i="1" s="1"/>
  <c r="AG106" i="1"/>
  <c r="AH106" i="1" s="1"/>
  <c r="AI106" i="1"/>
  <c r="AJ106" i="1" s="1"/>
  <c r="AA107" i="1"/>
  <c r="AB107" i="1" s="1"/>
  <c r="AE107" i="1"/>
  <c r="AF107" i="1" s="1"/>
  <c r="AG107" i="1"/>
  <c r="AH107" i="1" s="1"/>
  <c r="AI107" i="1"/>
  <c r="AJ107" i="1"/>
  <c r="Z104" i="1"/>
  <c r="Y102" i="1"/>
  <c r="Z102" i="1" s="1"/>
  <c r="Y103" i="1"/>
  <c r="Z103" i="1" s="1"/>
  <c r="Y104" i="1"/>
  <c r="Y105" i="1"/>
  <c r="Z105" i="1" s="1"/>
  <c r="Y106" i="1"/>
  <c r="Y107" i="1"/>
  <c r="Z107" i="1" s="1"/>
  <c r="V102" i="1"/>
  <c r="V105" i="1"/>
  <c r="V106" i="1"/>
  <c r="U102" i="1"/>
  <c r="U103" i="1"/>
  <c r="V103" i="1" s="1"/>
  <c r="U104" i="1"/>
  <c r="V104" i="1" s="1"/>
  <c r="U105" i="1"/>
  <c r="U106" i="1"/>
  <c r="U107" i="1"/>
  <c r="V107" i="1" s="1"/>
  <c r="T105" i="1"/>
  <c r="T106" i="1"/>
  <c r="W106" i="1" s="1"/>
  <c r="S102" i="1"/>
  <c r="X102" i="1" s="1"/>
  <c r="S103" i="1"/>
  <c r="S104" i="1"/>
  <c r="T104" i="1" s="1"/>
  <c r="S105" i="1"/>
  <c r="X105" i="1" s="1"/>
  <c r="S106" i="1"/>
  <c r="S107" i="1"/>
  <c r="T107" i="1" s="1"/>
  <c r="Y101" i="1"/>
  <c r="Z101" i="1" s="1"/>
  <c r="T100" i="1"/>
  <c r="T101" i="1"/>
  <c r="S96" i="1"/>
  <c r="T96" i="1" s="1"/>
  <c r="S97" i="1"/>
  <c r="T97" i="1" s="1"/>
  <c r="S98" i="1"/>
  <c r="T98" i="1" s="1"/>
  <c r="S99" i="1"/>
  <c r="T99" i="1" s="1"/>
  <c r="S100" i="1"/>
  <c r="S101" i="1"/>
  <c r="AE98" i="1"/>
  <c r="AF98" i="1" s="1"/>
  <c r="AG98" i="1"/>
  <c r="AH98" i="1" s="1"/>
  <c r="AI98" i="1"/>
  <c r="AJ98" i="1" s="1"/>
  <c r="AE99" i="1"/>
  <c r="AF99" i="1" s="1"/>
  <c r="AG99" i="1"/>
  <c r="AI99" i="1"/>
  <c r="AJ99" i="1" s="1"/>
  <c r="AE100" i="1"/>
  <c r="AF100" i="1" s="1"/>
  <c r="AG100" i="1"/>
  <c r="AH100" i="1" s="1"/>
  <c r="AI100" i="1"/>
  <c r="AJ100" i="1" s="1"/>
  <c r="AE101" i="1"/>
  <c r="AF101" i="1" s="1"/>
  <c r="AG101" i="1"/>
  <c r="AH101" i="1" s="1"/>
  <c r="AI101" i="1"/>
  <c r="AJ101" i="1" s="1"/>
  <c r="AI3" i="1"/>
  <c r="AJ3" i="1" s="1"/>
  <c r="AI4" i="1"/>
  <c r="AJ4" i="1" s="1"/>
  <c r="AI7" i="1"/>
  <c r="AJ7" i="1" s="1"/>
  <c r="AI8" i="1"/>
  <c r="AJ8" i="1" s="1"/>
  <c r="AI9" i="1"/>
  <c r="AJ9" i="1" s="1"/>
  <c r="AI10" i="1"/>
  <c r="AJ10" i="1" s="1"/>
  <c r="AI11" i="1"/>
  <c r="AJ11" i="1" s="1"/>
  <c r="AI12" i="1"/>
  <c r="AJ12" i="1" s="1"/>
  <c r="AI13" i="1"/>
  <c r="AJ13" i="1" s="1"/>
  <c r="AI14" i="1"/>
  <c r="AJ14" i="1" s="1"/>
  <c r="AI15" i="1"/>
  <c r="AJ15" i="1" s="1"/>
  <c r="AI16" i="1"/>
  <c r="AJ16" i="1" s="1"/>
  <c r="AI17" i="1"/>
  <c r="AJ17" i="1" s="1"/>
  <c r="AI18" i="1"/>
  <c r="AJ18" i="1" s="1"/>
  <c r="AI19" i="1"/>
  <c r="AJ19" i="1" s="1"/>
  <c r="AI20" i="1"/>
  <c r="AJ20" i="1" s="1"/>
  <c r="AI21" i="1"/>
  <c r="AJ21" i="1" s="1"/>
  <c r="AI22" i="1"/>
  <c r="AJ22" i="1" s="1"/>
  <c r="AI23" i="1"/>
  <c r="AJ23" i="1" s="1"/>
  <c r="AI24" i="1"/>
  <c r="AJ24" i="1" s="1"/>
  <c r="AI26" i="1"/>
  <c r="AJ26" i="1" s="1"/>
  <c r="AI27" i="1"/>
  <c r="AJ27" i="1" s="1"/>
  <c r="AI28" i="1"/>
  <c r="AJ28" i="1" s="1"/>
  <c r="AI29" i="1"/>
  <c r="AJ29" i="1" s="1"/>
  <c r="AI30" i="1"/>
  <c r="AJ30" i="1" s="1"/>
  <c r="AI31" i="1"/>
  <c r="AJ31" i="1" s="1"/>
  <c r="AI32" i="1"/>
  <c r="AJ32" i="1" s="1"/>
  <c r="AI33" i="1"/>
  <c r="AJ33" i="1" s="1"/>
  <c r="AI34" i="1"/>
  <c r="AJ34" i="1" s="1"/>
  <c r="AI35" i="1"/>
  <c r="AJ35" i="1" s="1"/>
  <c r="AI36" i="1"/>
  <c r="AJ36" i="1" s="1"/>
  <c r="AI37" i="1"/>
  <c r="AJ37" i="1" s="1"/>
  <c r="AI38" i="1"/>
  <c r="AJ38" i="1" s="1"/>
  <c r="AI39" i="1"/>
  <c r="AJ39" i="1" s="1"/>
  <c r="AI40" i="1"/>
  <c r="AJ40" i="1" s="1"/>
  <c r="AI41" i="1"/>
  <c r="AJ41" i="1" s="1"/>
  <c r="AI43" i="1"/>
  <c r="AJ43" i="1" s="1"/>
  <c r="AI44" i="1"/>
  <c r="AJ44" i="1" s="1"/>
  <c r="AI46" i="1"/>
  <c r="AJ46" i="1" s="1"/>
  <c r="AI47" i="1"/>
  <c r="AJ47" i="1" s="1"/>
  <c r="AI48" i="1"/>
  <c r="AJ48" i="1" s="1"/>
  <c r="AI49" i="1"/>
  <c r="AJ49" i="1" s="1"/>
  <c r="AI51" i="1"/>
  <c r="AJ51" i="1" s="1"/>
  <c r="AI53" i="1"/>
  <c r="AJ53" i="1" s="1"/>
  <c r="AI54" i="1"/>
  <c r="AJ54" i="1" s="1"/>
  <c r="AI55" i="1"/>
  <c r="AJ55" i="1" s="1"/>
  <c r="AI56" i="1"/>
  <c r="AJ56" i="1" s="1"/>
  <c r="AI57" i="1"/>
  <c r="AJ57" i="1" s="1"/>
  <c r="AI58" i="1"/>
  <c r="AJ58" i="1" s="1"/>
  <c r="AI59" i="1"/>
  <c r="AJ59" i="1" s="1"/>
  <c r="AI60" i="1"/>
  <c r="AJ60" i="1" s="1"/>
  <c r="AI61" i="1"/>
  <c r="AJ61" i="1" s="1"/>
  <c r="AI62" i="1"/>
  <c r="AJ62" i="1" s="1"/>
  <c r="AI63" i="1"/>
  <c r="AJ63" i="1" s="1"/>
  <c r="AI64" i="1"/>
  <c r="AJ64" i="1" s="1"/>
  <c r="AI65" i="1"/>
  <c r="AJ65" i="1" s="1"/>
  <c r="AI66" i="1"/>
  <c r="AJ66" i="1" s="1"/>
  <c r="AI67" i="1"/>
  <c r="AJ67" i="1" s="1"/>
  <c r="AI68" i="1"/>
  <c r="AJ68" i="1" s="1"/>
  <c r="AI70" i="1"/>
  <c r="AJ70" i="1" s="1"/>
  <c r="AI71" i="1"/>
  <c r="AJ71" i="1" s="1"/>
  <c r="AI72" i="1"/>
  <c r="AJ72" i="1" s="1"/>
  <c r="AI73" i="1"/>
  <c r="AJ73" i="1" s="1"/>
  <c r="AI74" i="1"/>
  <c r="AJ74" i="1" s="1"/>
  <c r="AI75" i="1"/>
  <c r="AJ75" i="1" s="1"/>
  <c r="AI76" i="1"/>
  <c r="AJ76" i="1" s="1"/>
  <c r="AI77" i="1"/>
  <c r="AJ77" i="1" s="1"/>
  <c r="AI78" i="1"/>
  <c r="AJ78" i="1" s="1"/>
  <c r="AI79" i="1"/>
  <c r="AJ79" i="1" s="1"/>
  <c r="AI80" i="1"/>
  <c r="AJ80" i="1" s="1"/>
  <c r="AI81" i="1"/>
  <c r="AJ81" i="1" s="1"/>
  <c r="AI83" i="1"/>
  <c r="AJ83" i="1" s="1"/>
  <c r="AI86" i="1"/>
  <c r="AJ86" i="1" s="1"/>
  <c r="AI88" i="1"/>
  <c r="AJ88" i="1" s="1"/>
  <c r="AI89" i="1"/>
  <c r="AJ89" i="1" s="1"/>
  <c r="AI90" i="1"/>
  <c r="AJ90" i="1" s="1"/>
  <c r="AI93" i="1"/>
  <c r="AJ93" i="1" s="1"/>
  <c r="AI94" i="1"/>
  <c r="AJ94" i="1" s="1"/>
  <c r="AI95" i="1"/>
  <c r="AJ95" i="1" s="1"/>
  <c r="AI96" i="1"/>
  <c r="AJ96" i="1" s="1"/>
  <c r="AI97" i="1"/>
  <c r="AJ97" i="1" s="1"/>
  <c r="AG3" i="1"/>
  <c r="AH3" i="1" s="1"/>
  <c r="AG4" i="1"/>
  <c r="AH4" i="1" s="1"/>
  <c r="AG5" i="1"/>
  <c r="AH5" i="1" s="1"/>
  <c r="AG6" i="1"/>
  <c r="AH6" i="1" s="1"/>
  <c r="AG7" i="1"/>
  <c r="AH7" i="1" s="1"/>
  <c r="AG8" i="1"/>
  <c r="AH8" i="1" s="1"/>
  <c r="AG9" i="1"/>
  <c r="AG10" i="1"/>
  <c r="AH10" i="1" s="1"/>
  <c r="AG11" i="1"/>
  <c r="AG12" i="1"/>
  <c r="AG13" i="1"/>
  <c r="AH13" i="1" s="1"/>
  <c r="AG14" i="1"/>
  <c r="AH14" i="1" s="1"/>
  <c r="AG15" i="1"/>
  <c r="AH15" i="1" s="1"/>
  <c r="AG16" i="1"/>
  <c r="AH16" i="1" s="1"/>
  <c r="AG17" i="1"/>
  <c r="AH17" i="1" s="1"/>
  <c r="AG18" i="1"/>
  <c r="AH18" i="1" s="1"/>
  <c r="AG19" i="1"/>
  <c r="AH19" i="1" s="1"/>
  <c r="AG21" i="1"/>
  <c r="AG22" i="1"/>
  <c r="AH22" i="1" s="1"/>
  <c r="AG23" i="1"/>
  <c r="AG24" i="1"/>
  <c r="AG25" i="1"/>
  <c r="AH25" i="1" s="1"/>
  <c r="AG26" i="1"/>
  <c r="AH26" i="1" s="1"/>
  <c r="AG27" i="1"/>
  <c r="AH27" i="1" s="1"/>
  <c r="AG28" i="1"/>
  <c r="AH28" i="1" s="1"/>
  <c r="AG29" i="1"/>
  <c r="AH29" i="1" s="1"/>
  <c r="AG30" i="1"/>
  <c r="AH30" i="1" s="1"/>
  <c r="AG31" i="1"/>
  <c r="AH31" i="1" s="1"/>
  <c r="AG33" i="1"/>
  <c r="AG34" i="1"/>
  <c r="AH34" i="1" s="1"/>
  <c r="AG35" i="1"/>
  <c r="AG36" i="1"/>
  <c r="AG37" i="1"/>
  <c r="AH37" i="1" s="1"/>
  <c r="AG40" i="1"/>
  <c r="AH40" i="1" s="1"/>
  <c r="AG41" i="1"/>
  <c r="AH41" i="1" s="1"/>
  <c r="AG42" i="1"/>
  <c r="AH42" i="1" s="1"/>
  <c r="AG43" i="1"/>
  <c r="AH43" i="1" s="1"/>
  <c r="AG44" i="1"/>
  <c r="AH44" i="1" s="1"/>
  <c r="AG57" i="1"/>
  <c r="AG58" i="1"/>
  <c r="AH58" i="1" s="1"/>
  <c r="AG59" i="1"/>
  <c r="AH59" i="1" s="1"/>
  <c r="AG60" i="1"/>
  <c r="AG61" i="1"/>
  <c r="AH61" i="1" s="1"/>
  <c r="AG62" i="1"/>
  <c r="AH62" i="1" s="1"/>
  <c r="AG63" i="1"/>
  <c r="AH63" i="1" s="1"/>
  <c r="AG64" i="1"/>
  <c r="AH64" i="1" s="1"/>
  <c r="AG65" i="1"/>
  <c r="AH65" i="1" s="1"/>
  <c r="AG66" i="1"/>
  <c r="AH66" i="1" s="1"/>
  <c r="AG67" i="1"/>
  <c r="AH67" i="1" s="1"/>
  <c r="AG68" i="1"/>
  <c r="AH68" i="1" s="1"/>
  <c r="AG69" i="1"/>
  <c r="AG70" i="1"/>
  <c r="AH70" i="1" s="1"/>
  <c r="AG71" i="1"/>
  <c r="AG72" i="1"/>
  <c r="AG73" i="1"/>
  <c r="AH73" i="1" s="1"/>
  <c r="AG74" i="1"/>
  <c r="AH74" i="1" s="1"/>
  <c r="AG75" i="1"/>
  <c r="AH75" i="1" s="1"/>
  <c r="AG76" i="1"/>
  <c r="AH76" i="1" s="1"/>
  <c r="AG77" i="1"/>
  <c r="AH77" i="1" s="1"/>
  <c r="AG78" i="1"/>
  <c r="AH78" i="1" s="1"/>
  <c r="AG79" i="1"/>
  <c r="AH79" i="1" s="1"/>
  <c r="AG80" i="1"/>
  <c r="AH80" i="1" s="1"/>
  <c r="AG81" i="1"/>
  <c r="AG91" i="1"/>
  <c r="AH91" i="1" s="1"/>
  <c r="AG92" i="1"/>
  <c r="AH92" i="1" s="1"/>
  <c r="AG93" i="1"/>
  <c r="AG94" i="1"/>
  <c r="AH94" i="1" s="1"/>
  <c r="AG95" i="1"/>
  <c r="AH95" i="1" s="1"/>
  <c r="AG96" i="1"/>
  <c r="AG97" i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3" i="1"/>
  <c r="AF33" i="1" s="1"/>
  <c r="AE34" i="1"/>
  <c r="AF34" i="1" s="1"/>
  <c r="AE35" i="1"/>
  <c r="AF35" i="1" s="1"/>
  <c r="AE36" i="1"/>
  <c r="AF36" i="1" s="1"/>
  <c r="AE37" i="1"/>
  <c r="AF37" i="1" s="1"/>
  <c r="AE40" i="1"/>
  <c r="AF40" i="1" s="1"/>
  <c r="AE41" i="1"/>
  <c r="AF41" i="1" s="1"/>
  <c r="AE42" i="1"/>
  <c r="AF42" i="1" s="1"/>
  <c r="AE43" i="1"/>
  <c r="AF43" i="1" s="1"/>
  <c r="AE44" i="1"/>
  <c r="AF44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A3" i="1"/>
  <c r="AB3" i="1" s="1"/>
  <c r="AA4" i="1"/>
  <c r="AB4" i="1" s="1"/>
  <c r="AA7" i="1"/>
  <c r="AB7" i="1" s="1"/>
  <c r="AA8" i="1"/>
  <c r="AB8" i="1" s="1"/>
  <c r="AA9" i="1"/>
  <c r="AB9" i="1" s="1"/>
  <c r="AA10" i="1"/>
  <c r="AB10" i="1" s="1"/>
  <c r="AA11" i="1"/>
  <c r="AB11" i="1" s="1"/>
  <c r="AA12" i="1"/>
  <c r="AB12" i="1" s="1"/>
  <c r="AA13" i="1"/>
  <c r="AB13" i="1" s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20" i="1"/>
  <c r="AB20" i="1" s="1"/>
  <c r="AA21" i="1"/>
  <c r="AB21" i="1" s="1"/>
  <c r="AA22" i="1"/>
  <c r="AB22" i="1" s="1"/>
  <c r="AA23" i="1"/>
  <c r="AB23" i="1" s="1"/>
  <c r="AA24" i="1"/>
  <c r="AB24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B34" i="1" s="1"/>
  <c r="AA35" i="1"/>
  <c r="AB35" i="1" s="1"/>
  <c r="AA36" i="1"/>
  <c r="AB36" i="1" s="1"/>
  <c r="AA37" i="1"/>
  <c r="AB37" i="1" s="1"/>
  <c r="AA38" i="1"/>
  <c r="AB38" i="1" s="1"/>
  <c r="AA39" i="1"/>
  <c r="AB39" i="1" s="1"/>
  <c r="AA40" i="1"/>
  <c r="AB40" i="1" s="1"/>
  <c r="AA41" i="1"/>
  <c r="AB41" i="1" s="1"/>
  <c r="AA43" i="1"/>
  <c r="AB43" i="1" s="1"/>
  <c r="AA44" i="1"/>
  <c r="AB44" i="1" s="1"/>
  <c r="AA46" i="1"/>
  <c r="AB46" i="1" s="1"/>
  <c r="AA47" i="1"/>
  <c r="AB47" i="1" s="1"/>
  <c r="AA48" i="1"/>
  <c r="AB48" i="1" s="1"/>
  <c r="AA49" i="1"/>
  <c r="AB49" i="1" s="1"/>
  <c r="AA51" i="1"/>
  <c r="AB51" i="1" s="1"/>
  <c r="AA53" i="1"/>
  <c r="AB53" i="1" s="1"/>
  <c r="AA54" i="1"/>
  <c r="AB54" i="1" s="1"/>
  <c r="AA55" i="1"/>
  <c r="AB55" i="1" s="1"/>
  <c r="AA56" i="1"/>
  <c r="AB56" i="1" s="1"/>
  <c r="AA57" i="1"/>
  <c r="AB57" i="1" s="1"/>
  <c r="AA58" i="1"/>
  <c r="AB58" i="1" s="1"/>
  <c r="AA59" i="1"/>
  <c r="AB59" i="1" s="1"/>
  <c r="AA60" i="1"/>
  <c r="AB60" i="1" s="1"/>
  <c r="AA61" i="1"/>
  <c r="AB61" i="1" s="1"/>
  <c r="AA62" i="1"/>
  <c r="AB62" i="1" s="1"/>
  <c r="AA63" i="1"/>
  <c r="AB63" i="1" s="1"/>
  <c r="AA64" i="1"/>
  <c r="AB64" i="1" s="1"/>
  <c r="AA65" i="1"/>
  <c r="AB65" i="1" s="1"/>
  <c r="AA66" i="1"/>
  <c r="AB66" i="1" s="1"/>
  <c r="AA67" i="1"/>
  <c r="AB67" i="1" s="1"/>
  <c r="AA68" i="1"/>
  <c r="AB68" i="1" s="1"/>
  <c r="AA70" i="1"/>
  <c r="AB70" i="1" s="1"/>
  <c r="AA71" i="1"/>
  <c r="AB71" i="1" s="1"/>
  <c r="AA72" i="1"/>
  <c r="AB72" i="1" s="1"/>
  <c r="AA73" i="1"/>
  <c r="AB73" i="1" s="1"/>
  <c r="AA74" i="1"/>
  <c r="AB74" i="1" s="1"/>
  <c r="AA75" i="1"/>
  <c r="AB75" i="1" s="1"/>
  <c r="AA76" i="1"/>
  <c r="AB76" i="1" s="1"/>
  <c r="AA77" i="1"/>
  <c r="AB77" i="1" s="1"/>
  <c r="AA78" i="1"/>
  <c r="AB78" i="1" s="1"/>
  <c r="AA79" i="1"/>
  <c r="AB79" i="1" s="1"/>
  <c r="AA80" i="1"/>
  <c r="AB80" i="1" s="1"/>
  <c r="AA81" i="1"/>
  <c r="AB81" i="1" s="1"/>
  <c r="AA83" i="1"/>
  <c r="AB83" i="1" s="1"/>
  <c r="AA86" i="1"/>
  <c r="AB86" i="1" s="1"/>
  <c r="AA88" i="1"/>
  <c r="AB88" i="1" s="1"/>
  <c r="AA89" i="1"/>
  <c r="AB89" i="1" s="1"/>
  <c r="AA90" i="1"/>
  <c r="AB90" i="1" s="1"/>
  <c r="AA93" i="1"/>
  <c r="AB93" i="1" s="1"/>
  <c r="AA94" i="1"/>
  <c r="AB94" i="1" s="1"/>
  <c r="AA95" i="1"/>
  <c r="AB95" i="1" s="1"/>
  <c r="AA96" i="1"/>
  <c r="AB96" i="1" s="1"/>
  <c r="AA97" i="1"/>
  <c r="AB97" i="1" s="1"/>
  <c r="AA98" i="1"/>
  <c r="AB98" i="1" s="1"/>
  <c r="AA99" i="1"/>
  <c r="AB99" i="1" s="1"/>
  <c r="AA100" i="1"/>
  <c r="AB100" i="1" s="1"/>
  <c r="AA101" i="1"/>
  <c r="AB101" i="1" s="1"/>
  <c r="Y3" i="1"/>
  <c r="Z3" i="1" s="1"/>
  <c r="Y4" i="1"/>
  <c r="Z4" i="1" s="1"/>
  <c r="Y5" i="1"/>
  <c r="Y6" i="1"/>
  <c r="Y7" i="1"/>
  <c r="AC7" i="1" s="1"/>
  <c r="Y8" i="1"/>
  <c r="Y9" i="1"/>
  <c r="AC9" i="1" s="1"/>
  <c r="Y10" i="1"/>
  <c r="AC10" i="1" s="1"/>
  <c r="Y11" i="1"/>
  <c r="Y12" i="1"/>
  <c r="Z12" i="1" s="1"/>
  <c r="Y13" i="1"/>
  <c r="Z13" i="1" s="1"/>
  <c r="Y14" i="1"/>
  <c r="Z14" i="1" s="1"/>
  <c r="Y15" i="1"/>
  <c r="Z15" i="1" s="1"/>
  <c r="Y16" i="1"/>
  <c r="Z16" i="1" s="1"/>
  <c r="Y17" i="1"/>
  <c r="Y18" i="1"/>
  <c r="Y19" i="1"/>
  <c r="AC19" i="1" s="1"/>
  <c r="Y21" i="1"/>
  <c r="Y22" i="1"/>
  <c r="Y23" i="1"/>
  <c r="Y24" i="1"/>
  <c r="Y25" i="1"/>
  <c r="Z25" i="1" s="1"/>
  <c r="Y26" i="1"/>
  <c r="Z26" i="1" s="1"/>
  <c r="Y27" i="1"/>
  <c r="Z27" i="1" s="1"/>
  <c r="Y28" i="1"/>
  <c r="Z28" i="1" s="1"/>
  <c r="Y29" i="1"/>
  <c r="Y30" i="1"/>
  <c r="Y31" i="1"/>
  <c r="AC31" i="1" s="1"/>
  <c r="Y33" i="1"/>
  <c r="Y34" i="1"/>
  <c r="Y35" i="1"/>
  <c r="Y36" i="1"/>
  <c r="Y37" i="1"/>
  <c r="Z37" i="1" s="1"/>
  <c r="Y40" i="1"/>
  <c r="Z40" i="1" s="1"/>
  <c r="Y41" i="1"/>
  <c r="Y42" i="1"/>
  <c r="Y43" i="1"/>
  <c r="AC43" i="1" s="1"/>
  <c r="Y44" i="1"/>
  <c r="Y57" i="1"/>
  <c r="Y58" i="1"/>
  <c r="Y59" i="1"/>
  <c r="Y60" i="1"/>
  <c r="Y61" i="1"/>
  <c r="Z61" i="1" s="1"/>
  <c r="Y62" i="1"/>
  <c r="Z62" i="1" s="1"/>
  <c r="AD62" i="1" s="1"/>
  <c r="Y63" i="1"/>
  <c r="Z63" i="1" s="1"/>
  <c r="Y64" i="1"/>
  <c r="Z64" i="1" s="1"/>
  <c r="Y65" i="1"/>
  <c r="Y66" i="1"/>
  <c r="Y67" i="1"/>
  <c r="Y68" i="1"/>
  <c r="Y69" i="1"/>
  <c r="Y70" i="1"/>
  <c r="Y71" i="1"/>
  <c r="Y72" i="1"/>
  <c r="Y73" i="1"/>
  <c r="Z73" i="1" s="1"/>
  <c r="Y74" i="1"/>
  <c r="Z74" i="1" s="1"/>
  <c r="AD74" i="1" s="1"/>
  <c r="Y75" i="1"/>
  <c r="Z75" i="1" s="1"/>
  <c r="Y76" i="1"/>
  <c r="Z76" i="1" s="1"/>
  <c r="Y77" i="1"/>
  <c r="Y78" i="1"/>
  <c r="Y79" i="1"/>
  <c r="Y80" i="1"/>
  <c r="Y81" i="1"/>
  <c r="Y91" i="1"/>
  <c r="Y92" i="1"/>
  <c r="Y93" i="1"/>
  <c r="Z93" i="1" s="1"/>
  <c r="AD93" i="1" s="1"/>
  <c r="Y94" i="1"/>
  <c r="Z94" i="1" s="1"/>
  <c r="AD94" i="1" s="1"/>
  <c r="Y95" i="1"/>
  <c r="Z95" i="1" s="1"/>
  <c r="Y96" i="1"/>
  <c r="Y97" i="1"/>
  <c r="Y98" i="1"/>
  <c r="Z98" i="1" s="1"/>
  <c r="Y99" i="1"/>
  <c r="AC99" i="1" s="1"/>
  <c r="Y100" i="1"/>
  <c r="AC100" i="1" s="1"/>
  <c r="X101" i="1"/>
  <c r="U3" i="1"/>
  <c r="V3" i="1" s="1"/>
  <c r="U4" i="1"/>
  <c r="V4" i="1" s="1"/>
  <c r="U7" i="1"/>
  <c r="V7" i="1" s="1"/>
  <c r="U8" i="1"/>
  <c r="V8" i="1" s="1"/>
  <c r="U9" i="1"/>
  <c r="V9" i="1" s="1"/>
  <c r="U10" i="1"/>
  <c r="V10" i="1" s="1"/>
  <c r="U11" i="1"/>
  <c r="V11" i="1" s="1"/>
  <c r="U12" i="1"/>
  <c r="V12" i="1" s="1"/>
  <c r="U13" i="1"/>
  <c r="V13" i="1" s="1"/>
  <c r="U14" i="1"/>
  <c r="V14" i="1" s="1"/>
  <c r="U15" i="1"/>
  <c r="V15" i="1" s="1"/>
  <c r="U16" i="1"/>
  <c r="V16" i="1" s="1"/>
  <c r="U17" i="1"/>
  <c r="V17" i="1" s="1"/>
  <c r="U18" i="1"/>
  <c r="V18" i="1" s="1"/>
  <c r="U19" i="1"/>
  <c r="V19" i="1" s="1"/>
  <c r="U20" i="1"/>
  <c r="V20" i="1" s="1"/>
  <c r="U21" i="1"/>
  <c r="V21" i="1" s="1"/>
  <c r="U22" i="1"/>
  <c r="V22" i="1" s="1"/>
  <c r="U23" i="1"/>
  <c r="V23" i="1" s="1"/>
  <c r="U24" i="1"/>
  <c r="V24" i="1" s="1"/>
  <c r="U26" i="1"/>
  <c r="V26" i="1" s="1"/>
  <c r="U27" i="1"/>
  <c r="V27" i="1" s="1"/>
  <c r="U28" i="1"/>
  <c r="V28" i="1" s="1"/>
  <c r="U29" i="1"/>
  <c r="V29" i="1" s="1"/>
  <c r="U30" i="1"/>
  <c r="V30" i="1" s="1"/>
  <c r="U31" i="1"/>
  <c r="V31" i="1" s="1"/>
  <c r="U32" i="1"/>
  <c r="V32" i="1" s="1"/>
  <c r="U33" i="1"/>
  <c r="V33" i="1" s="1"/>
  <c r="U34" i="1"/>
  <c r="V34" i="1" s="1"/>
  <c r="U35" i="1"/>
  <c r="V35" i="1" s="1"/>
  <c r="U36" i="1"/>
  <c r="V36" i="1" s="1"/>
  <c r="U37" i="1"/>
  <c r="V37" i="1" s="1"/>
  <c r="U38" i="1"/>
  <c r="U39" i="1"/>
  <c r="V39" i="1" s="1"/>
  <c r="U40" i="1"/>
  <c r="V40" i="1" s="1"/>
  <c r="U41" i="1"/>
  <c r="V41" i="1" s="1"/>
  <c r="U43" i="1"/>
  <c r="V43" i="1" s="1"/>
  <c r="U44" i="1"/>
  <c r="V44" i="1" s="1"/>
  <c r="U46" i="1"/>
  <c r="V46" i="1" s="1"/>
  <c r="U47" i="1"/>
  <c r="V47" i="1" s="1"/>
  <c r="U48" i="1"/>
  <c r="V48" i="1" s="1"/>
  <c r="U49" i="1"/>
  <c r="V49" i="1" s="1"/>
  <c r="U51" i="1"/>
  <c r="V51" i="1" s="1"/>
  <c r="U53" i="1"/>
  <c r="V53" i="1" s="1"/>
  <c r="U54" i="1"/>
  <c r="V54" i="1" s="1"/>
  <c r="U55" i="1"/>
  <c r="V55" i="1" s="1"/>
  <c r="U56" i="1"/>
  <c r="V56" i="1" s="1"/>
  <c r="U57" i="1"/>
  <c r="V57" i="1" s="1"/>
  <c r="U58" i="1"/>
  <c r="V58" i="1" s="1"/>
  <c r="U59" i="1"/>
  <c r="V59" i="1" s="1"/>
  <c r="U60" i="1"/>
  <c r="V60" i="1" s="1"/>
  <c r="U61" i="1"/>
  <c r="V61" i="1" s="1"/>
  <c r="U62" i="1"/>
  <c r="U63" i="1"/>
  <c r="V63" i="1" s="1"/>
  <c r="U64" i="1"/>
  <c r="V64" i="1" s="1"/>
  <c r="U65" i="1"/>
  <c r="V65" i="1" s="1"/>
  <c r="U66" i="1"/>
  <c r="V66" i="1" s="1"/>
  <c r="U67" i="1"/>
  <c r="V67" i="1" s="1"/>
  <c r="U68" i="1"/>
  <c r="V68" i="1" s="1"/>
  <c r="U70" i="1"/>
  <c r="V70" i="1" s="1"/>
  <c r="U71" i="1"/>
  <c r="V71" i="1" s="1"/>
  <c r="U72" i="1"/>
  <c r="V72" i="1" s="1"/>
  <c r="U73" i="1"/>
  <c r="V73" i="1" s="1"/>
  <c r="U74" i="1"/>
  <c r="U75" i="1"/>
  <c r="V75" i="1" s="1"/>
  <c r="U76" i="1"/>
  <c r="V76" i="1" s="1"/>
  <c r="U77" i="1"/>
  <c r="V77" i="1" s="1"/>
  <c r="U78" i="1"/>
  <c r="V78" i="1" s="1"/>
  <c r="U79" i="1"/>
  <c r="V79" i="1" s="1"/>
  <c r="U80" i="1"/>
  <c r="V80" i="1" s="1"/>
  <c r="U81" i="1"/>
  <c r="V81" i="1" s="1"/>
  <c r="U83" i="1"/>
  <c r="V83" i="1" s="1"/>
  <c r="U86" i="1"/>
  <c r="U88" i="1"/>
  <c r="V88" i="1" s="1"/>
  <c r="U89" i="1"/>
  <c r="V89" i="1" s="1"/>
  <c r="U90" i="1"/>
  <c r="V90" i="1" s="1"/>
  <c r="U93" i="1"/>
  <c r="V93" i="1" s="1"/>
  <c r="U94" i="1"/>
  <c r="V94" i="1" s="1"/>
  <c r="U95" i="1"/>
  <c r="V95" i="1" s="1"/>
  <c r="U96" i="1"/>
  <c r="V96" i="1" s="1"/>
  <c r="U97" i="1"/>
  <c r="V97" i="1" s="1"/>
  <c r="U98" i="1"/>
  <c r="V98" i="1" s="1"/>
  <c r="U99" i="1"/>
  <c r="U100" i="1"/>
  <c r="X100" i="1" s="1"/>
  <c r="U101" i="1"/>
  <c r="V101" i="1" s="1"/>
  <c r="S3" i="1"/>
  <c r="T3" i="1" s="1"/>
  <c r="S4" i="1"/>
  <c r="T4" i="1" s="1"/>
  <c r="S5" i="1"/>
  <c r="S6" i="1"/>
  <c r="T6" i="1" s="1"/>
  <c r="S7" i="1"/>
  <c r="S8" i="1"/>
  <c r="X8" i="1" s="1"/>
  <c r="S9" i="1"/>
  <c r="S10" i="1"/>
  <c r="S11" i="1"/>
  <c r="T11" i="1" s="1"/>
  <c r="W11" i="1" s="1"/>
  <c r="S12" i="1"/>
  <c r="S13" i="1"/>
  <c r="S14" i="1"/>
  <c r="T14" i="1" s="1"/>
  <c r="S15" i="1"/>
  <c r="T15" i="1" s="1"/>
  <c r="S16" i="1"/>
  <c r="S17" i="1"/>
  <c r="S18" i="1"/>
  <c r="T18" i="1" s="1"/>
  <c r="S19" i="1"/>
  <c r="S21" i="1"/>
  <c r="S22" i="1"/>
  <c r="S23" i="1"/>
  <c r="T23" i="1" s="1"/>
  <c r="S24" i="1"/>
  <c r="S25" i="1"/>
  <c r="S26" i="1"/>
  <c r="T26" i="1" s="1"/>
  <c r="S27" i="1"/>
  <c r="S28" i="1"/>
  <c r="S29" i="1"/>
  <c r="S30" i="1"/>
  <c r="T30" i="1" s="1"/>
  <c r="S31" i="1"/>
  <c r="S33" i="1"/>
  <c r="S34" i="1"/>
  <c r="S35" i="1"/>
  <c r="T35" i="1" s="1"/>
  <c r="S36" i="1"/>
  <c r="S37" i="1"/>
  <c r="S40" i="1"/>
  <c r="S41" i="1"/>
  <c r="S42" i="1"/>
  <c r="T42" i="1" s="1"/>
  <c r="S43" i="1"/>
  <c r="S44" i="1"/>
  <c r="X44" i="1" s="1"/>
  <c r="S57" i="1"/>
  <c r="S58" i="1"/>
  <c r="S59" i="1"/>
  <c r="T59" i="1" s="1"/>
  <c r="S60" i="1"/>
  <c r="S61" i="1"/>
  <c r="S62" i="1"/>
  <c r="T62" i="1" s="1"/>
  <c r="S63" i="1"/>
  <c r="T63" i="1" s="1"/>
  <c r="S64" i="1"/>
  <c r="T64" i="1" s="1"/>
  <c r="S65" i="1"/>
  <c r="S66" i="1"/>
  <c r="T66" i="1" s="1"/>
  <c r="S67" i="1"/>
  <c r="S68" i="1"/>
  <c r="S69" i="1"/>
  <c r="S70" i="1"/>
  <c r="S71" i="1"/>
  <c r="T71" i="1" s="1"/>
  <c r="S72" i="1"/>
  <c r="S73" i="1"/>
  <c r="S74" i="1"/>
  <c r="T74" i="1" s="1"/>
  <c r="S75" i="1"/>
  <c r="X75" i="1" s="1"/>
  <c r="S76" i="1"/>
  <c r="S77" i="1"/>
  <c r="X77" i="1" s="1"/>
  <c r="S78" i="1"/>
  <c r="T78" i="1" s="1"/>
  <c r="S79" i="1"/>
  <c r="S80" i="1"/>
  <c r="S81" i="1"/>
  <c r="S91" i="1"/>
  <c r="S92" i="1"/>
  <c r="S93" i="1"/>
  <c r="S94" i="1"/>
  <c r="S95" i="1"/>
  <c r="T95" i="1" s="1"/>
  <c r="W15" i="1" l="1"/>
  <c r="AC21" i="1"/>
  <c r="X103" i="1"/>
  <c r="X27" i="1"/>
  <c r="W71" i="1"/>
  <c r="AD14" i="1"/>
  <c r="W107" i="1"/>
  <c r="X80" i="1"/>
  <c r="AC79" i="1"/>
  <c r="X106" i="1"/>
  <c r="T102" i="1"/>
  <c r="W102" i="1" s="1"/>
  <c r="AC106" i="1"/>
  <c r="W35" i="1"/>
  <c r="W3" i="1"/>
  <c r="AC58" i="1"/>
  <c r="AC34" i="1"/>
  <c r="W105" i="1"/>
  <c r="AC81" i="1"/>
  <c r="AD26" i="1"/>
  <c r="AC70" i="1"/>
  <c r="X68" i="1"/>
  <c r="AC67" i="1"/>
  <c r="AC57" i="1"/>
  <c r="AC33" i="1"/>
  <c r="AC22" i="1"/>
  <c r="AD105" i="1"/>
  <c r="X104" i="1"/>
  <c r="X76" i="1"/>
  <c r="V100" i="1"/>
  <c r="T103" i="1"/>
  <c r="W103" i="1" s="1"/>
  <c r="AC104" i="1"/>
  <c r="X72" i="1"/>
  <c r="X60" i="1"/>
  <c r="X36" i="1"/>
  <c r="X24" i="1"/>
  <c r="X12" i="1"/>
  <c r="AD107" i="1"/>
  <c r="X107" i="1"/>
  <c r="X99" i="1"/>
  <c r="AC80" i="1"/>
  <c r="AC68" i="1"/>
  <c r="AC44" i="1"/>
  <c r="AC8" i="1"/>
  <c r="Z106" i="1"/>
  <c r="AD106" i="1" s="1"/>
  <c r="AC105" i="1"/>
  <c r="X93" i="1"/>
  <c r="AD103" i="1"/>
  <c r="AD28" i="1"/>
  <c r="AD16" i="1"/>
  <c r="AD4" i="1"/>
  <c r="W64" i="1"/>
  <c r="X40" i="1"/>
  <c r="X28" i="1"/>
  <c r="X16" i="1"/>
  <c r="W4" i="1"/>
  <c r="AD104" i="1"/>
  <c r="AD102" i="1"/>
  <c r="Z70" i="1"/>
  <c r="AC71" i="1"/>
  <c r="AC59" i="1"/>
  <c r="AC35" i="1"/>
  <c r="AC23" i="1"/>
  <c r="AC11" i="1"/>
  <c r="Z11" i="1"/>
  <c r="AD11" i="1" s="1"/>
  <c r="X43" i="1"/>
  <c r="X19" i="1"/>
  <c r="X7" i="1"/>
  <c r="X79" i="1"/>
  <c r="X31" i="1"/>
  <c r="X67" i="1"/>
  <c r="X65" i="1"/>
  <c r="X41" i="1"/>
  <c r="X29" i="1"/>
  <c r="X17" i="1"/>
  <c r="W63" i="1"/>
  <c r="X97" i="1"/>
  <c r="AC97" i="1"/>
  <c r="X95" i="1"/>
  <c r="AC96" i="1"/>
  <c r="AC95" i="1"/>
  <c r="T92" i="1"/>
  <c r="X70" i="1"/>
  <c r="X58" i="1"/>
  <c r="X34" i="1"/>
  <c r="X22" i="1"/>
  <c r="X10" i="1"/>
  <c r="T68" i="1"/>
  <c r="Z22" i="1"/>
  <c r="AD22" i="1" s="1"/>
  <c r="W26" i="1"/>
  <c r="AD61" i="1"/>
  <c r="X81" i="1"/>
  <c r="X57" i="1"/>
  <c r="X33" i="1"/>
  <c r="X21" i="1"/>
  <c r="X9" i="1"/>
  <c r="W59" i="1"/>
  <c r="T44" i="1"/>
  <c r="W44" i="1" s="1"/>
  <c r="W100" i="1"/>
  <c r="AD64" i="1"/>
  <c r="T29" i="1"/>
  <c r="W29" i="1" s="1"/>
  <c r="AD75" i="1"/>
  <c r="AD63" i="1"/>
  <c r="AD27" i="1"/>
  <c r="AD15" i="1"/>
  <c r="AD3" i="1"/>
  <c r="AD76" i="1"/>
  <c r="W14" i="1"/>
  <c r="AD37" i="1"/>
  <c r="W104" i="1"/>
  <c r="AC72" i="1"/>
  <c r="AC60" i="1"/>
  <c r="AC36" i="1"/>
  <c r="AC24" i="1"/>
  <c r="AC12" i="1"/>
  <c r="Z59" i="1"/>
  <c r="AD59" i="1" s="1"/>
  <c r="AD73" i="1"/>
  <c r="AD13" i="1"/>
  <c r="T77" i="1"/>
  <c r="W77" i="1" s="1"/>
  <c r="T5" i="1"/>
  <c r="W23" i="1"/>
  <c r="Z35" i="1"/>
  <c r="AC15" i="1"/>
  <c r="AD95" i="1"/>
  <c r="AD40" i="1"/>
  <c r="Z97" i="1"/>
  <c r="AD97" i="1" s="1"/>
  <c r="AC75" i="1"/>
  <c r="Z96" i="1"/>
  <c r="AD96" i="1" s="1"/>
  <c r="T70" i="1"/>
  <c r="W70" i="1" s="1"/>
  <c r="T22" i="1"/>
  <c r="AD98" i="1"/>
  <c r="Z36" i="1"/>
  <c r="AD36" i="1" s="1"/>
  <c r="AC63" i="1"/>
  <c r="Z34" i="1"/>
  <c r="T65" i="1"/>
  <c r="T41" i="1"/>
  <c r="T17" i="1"/>
  <c r="W17" i="1" s="1"/>
  <c r="Z72" i="1"/>
  <c r="AD72" i="1" s="1"/>
  <c r="Z24" i="1"/>
  <c r="AD24" i="1" s="1"/>
  <c r="Z71" i="1"/>
  <c r="AD71" i="1" s="1"/>
  <c r="Z23" i="1"/>
  <c r="AD23" i="1" s="1"/>
  <c r="AC27" i="1"/>
  <c r="X74" i="1"/>
  <c r="V99" i="1"/>
  <c r="W99" i="1" s="1"/>
  <c r="X62" i="1"/>
  <c r="T58" i="1"/>
  <c r="W58" i="1" s="1"/>
  <c r="T34" i="1"/>
  <c r="W34" i="1" s="1"/>
  <c r="T10" i="1"/>
  <c r="W10" i="1" s="1"/>
  <c r="Z60" i="1"/>
  <c r="AD60" i="1" s="1"/>
  <c r="AC3" i="1"/>
  <c r="AH97" i="1"/>
  <c r="T80" i="1"/>
  <c r="W80" i="1" s="1"/>
  <c r="T8" i="1"/>
  <c r="W8" i="1" s="1"/>
  <c r="X96" i="1"/>
  <c r="Z58" i="1"/>
  <c r="AD58" i="1" s="1"/>
  <c r="Z10" i="1"/>
  <c r="AD10" i="1" s="1"/>
  <c r="AH96" i="1"/>
  <c r="AC107" i="1"/>
  <c r="AC102" i="1"/>
  <c r="AC103" i="1"/>
  <c r="W68" i="1"/>
  <c r="X26" i="1"/>
  <c r="T93" i="1"/>
  <c r="W93" i="1" s="1"/>
  <c r="T81" i="1"/>
  <c r="W81" i="1" s="1"/>
  <c r="T69" i="1"/>
  <c r="T57" i="1"/>
  <c r="W57" i="1" s="1"/>
  <c r="T33" i="1"/>
  <c r="W33" i="1" s="1"/>
  <c r="T21" i="1"/>
  <c r="W21" i="1" s="1"/>
  <c r="T9" i="1"/>
  <c r="W9" i="1" s="1"/>
  <c r="X63" i="1"/>
  <c r="X15" i="1"/>
  <c r="AD12" i="1"/>
  <c r="AC40" i="1"/>
  <c r="V38" i="1"/>
  <c r="T91" i="1"/>
  <c r="T79" i="1"/>
  <c r="W79" i="1" s="1"/>
  <c r="T67" i="1"/>
  <c r="W67" i="1" s="1"/>
  <c r="T43" i="1"/>
  <c r="W43" i="1" s="1"/>
  <c r="T31" i="1"/>
  <c r="W31" i="1" s="1"/>
  <c r="T19" i="1"/>
  <c r="W19" i="1" s="1"/>
  <c r="T7" i="1"/>
  <c r="W7" i="1" s="1"/>
  <c r="V62" i="1"/>
  <c r="W62" i="1" s="1"/>
  <c r="X4" i="1"/>
  <c r="AC78" i="1"/>
  <c r="Z78" i="1"/>
  <c r="AD78" i="1" s="1"/>
  <c r="AC66" i="1"/>
  <c r="Z66" i="1"/>
  <c r="AD66" i="1" s="1"/>
  <c r="Z42" i="1"/>
  <c r="AC30" i="1"/>
  <c r="Z30" i="1"/>
  <c r="AD30" i="1" s="1"/>
  <c r="AC18" i="1"/>
  <c r="Z18" i="1"/>
  <c r="AD18" i="1" s="1"/>
  <c r="Z6" i="1"/>
  <c r="AC28" i="1"/>
  <c r="AH35" i="1"/>
  <c r="X14" i="1"/>
  <c r="X59" i="1"/>
  <c r="X35" i="1"/>
  <c r="X23" i="1"/>
  <c r="X11" i="1"/>
  <c r="W78" i="1"/>
  <c r="W66" i="1"/>
  <c r="W30" i="1"/>
  <c r="W18" i="1"/>
  <c r="X3" i="1"/>
  <c r="AC77" i="1"/>
  <c r="Z77" i="1"/>
  <c r="AD77" i="1" s="1"/>
  <c r="AC65" i="1"/>
  <c r="Z65" i="1"/>
  <c r="AD65" i="1" s="1"/>
  <c r="AC41" i="1"/>
  <c r="Z41" i="1"/>
  <c r="AD41" i="1" s="1"/>
  <c r="AC29" i="1"/>
  <c r="Z29" i="1"/>
  <c r="AD29" i="1" s="1"/>
  <c r="AC17" i="1"/>
  <c r="Z17" i="1"/>
  <c r="AD17" i="1" s="1"/>
  <c r="Z5" i="1"/>
  <c r="X64" i="1"/>
  <c r="X73" i="1"/>
  <c r="X71" i="1"/>
  <c r="W65" i="1"/>
  <c r="W41" i="1"/>
  <c r="V86" i="1"/>
  <c r="V74" i="1"/>
  <c r="W74" i="1" s="1"/>
  <c r="AC16" i="1"/>
  <c r="AH72" i="1"/>
  <c r="AH60" i="1"/>
  <c r="AH36" i="1"/>
  <c r="AH24" i="1"/>
  <c r="AH12" i="1"/>
  <c r="AH23" i="1"/>
  <c r="T76" i="1"/>
  <c r="W76" i="1" s="1"/>
  <c r="T40" i="1"/>
  <c r="W40" i="1" s="1"/>
  <c r="T28" i="1"/>
  <c r="W28" i="1" s="1"/>
  <c r="T16" i="1"/>
  <c r="W16" i="1" s="1"/>
  <c r="AD70" i="1"/>
  <c r="X13" i="1"/>
  <c r="T75" i="1"/>
  <c r="W75" i="1" s="1"/>
  <c r="T27" i="1"/>
  <c r="W27" i="1" s="1"/>
  <c r="AC76" i="1"/>
  <c r="AC4" i="1"/>
  <c r="AH11" i="1"/>
  <c r="X61" i="1"/>
  <c r="AD35" i="1"/>
  <c r="W22" i="1"/>
  <c r="X37" i="1"/>
  <c r="T94" i="1"/>
  <c r="W94" i="1" s="1"/>
  <c r="X94" i="1"/>
  <c r="X78" i="1"/>
  <c r="X66" i="1"/>
  <c r="X30" i="1"/>
  <c r="X18" i="1"/>
  <c r="T73" i="1"/>
  <c r="W73" i="1" s="1"/>
  <c r="T61" i="1"/>
  <c r="W61" i="1" s="1"/>
  <c r="T37" i="1"/>
  <c r="W37" i="1" s="1"/>
  <c r="T25" i="1"/>
  <c r="T13" i="1"/>
  <c r="W13" i="1" s="1"/>
  <c r="AD34" i="1"/>
  <c r="AC64" i="1"/>
  <c r="AH71" i="1"/>
  <c r="T72" i="1"/>
  <c r="W72" i="1" s="1"/>
  <c r="T60" i="1"/>
  <c r="W60" i="1" s="1"/>
  <c r="T36" i="1"/>
  <c r="W36" i="1" s="1"/>
  <c r="T24" i="1"/>
  <c r="W24" i="1" s="1"/>
  <c r="T12" i="1"/>
  <c r="W12" i="1" s="1"/>
  <c r="Z81" i="1"/>
  <c r="AD81" i="1" s="1"/>
  <c r="Z69" i="1"/>
  <c r="Z57" i="1"/>
  <c r="AD57" i="1" s="1"/>
  <c r="Z33" i="1"/>
  <c r="AD33" i="1" s="1"/>
  <c r="Z21" i="1"/>
  <c r="AD21" i="1" s="1"/>
  <c r="Z9" i="1"/>
  <c r="AD9" i="1" s="1"/>
  <c r="AC74" i="1"/>
  <c r="AC62" i="1"/>
  <c r="AC26" i="1"/>
  <c r="AC14" i="1"/>
  <c r="AH93" i="1"/>
  <c r="AH81" i="1"/>
  <c r="AH69" i="1"/>
  <c r="AH57" i="1"/>
  <c r="AH33" i="1"/>
  <c r="AH21" i="1"/>
  <c r="AH9" i="1"/>
  <c r="Z92" i="1"/>
  <c r="Z80" i="1"/>
  <c r="AD80" i="1" s="1"/>
  <c r="Z68" i="1"/>
  <c r="AD68" i="1" s="1"/>
  <c r="Z44" i="1"/>
  <c r="AD44" i="1" s="1"/>
  <c r="Z8" i="1"/>
  <c r="AD8" i="1" s="1"/>
  <c r="AC73" i="1"/>
  <c r="AC61" i="1"/>
  <c r="AC37" i="1"/>
  <c r="AC13" i="1"/>
  <c r="Z91" i="1"/>
  <c r="Z79" i="1"/>
  <c r="AD79" i="1" s="1"/>
  <c r="Z67" i="1"/>
  <c r="AD67" i="1" s="1"/>
  <c r="Z43" i="1"/>
  <c r="AD43" i="1" s="1"/>
  <c r="Z31" i="1"/>
  <c r="AD31" i="1" s="1"/>
  <c r="Z19" i="1"/>
  <c r="AD19" i="1" s="1"/>
  <c r="Z7" i="1"/>
  <c r="AD7" i="1" s="1"/>
  <c r="W96" i="1"/>
  <c r="AC94" i="1"/>
  <c r="W95" i="1"/>
  <c r="AC93" i="1"/>
  <c r="W98" i="1"/>
  <c r="Z100" i="1"/>
  <c r="AD100" i="1" s="1"/>
  <c r="Z99" i="1"/>
  <c r="AD99" i="1" s="1"/>
  <c r="AH99" i="1"/>
  <c r="X98" i="1"/>
  <c r="AC98" i="1"/>
  <c r="AD101" i="1"/>
  <c r="AC101" i="1"/>
  <c r="W101" i="1"/>
  <c r="W97" i="1"/>
  <c r="AI2" i="1" l="1"/>
  <c r="AJ2" i="1" s="1"/>
  <c r="AG2" i="1"/>
  <c r="AE2" i="1"/>
  <c r="AF2" i="1" s="1"/>
  <c r="AA2" i="1"/>
  <c r="AB2" i="1" s="1"/>
  <c r="Y2" i="1"/>
  <c r="Z2" i="1" s="1"/>
  <c r="AC2" i="1" l="1"/>
  <c r="AH2" i="1"/>
  <c r="R50" i="1" l="1"/>
  <c r="Q50" i="1"/>
  <c r="P50" i="1"/>
  <c r="H50" i="1"/>
  <c r="G50" i="1"/>
  <c r="F50" i="1"/>
  <c r="E50" i="1"/>
  <c r="D50" i="1"/>
  <c r="C50" i="1"/>
  <c r="B50" i="1"/>
  <c r="H51" i="1"/>
  <c r="G51" i="1"/>
  <c r="F51" i="1"/>
  <c r="E51" i="1"/>
  <c r="D51" i="1"/>
  <c r="C51" i="1"/>
  <c r="B51" i="1"/>
  <c r="H83" i="1"/>
  <c r="G83" i="1"/>
  <c r="F83" i="1"/>
  <c r="R84" i="1"/>
  <c r="Q84" i="1"/>
  <c r="P84" i="1"/>
  <c r="H84" i="1"/>
  <c r="G84" i="1"/>
  <c r="F84" i="1"/>
  <c r="R85" i="1"/>
  <c r="Q85" i="1"/>
  <c r="P85" i="1"/>
  <c r="H85" i="1"/>
  <c r="G85" i="1"/>
  <c r="F85" i="1"/>
  <c r="H86" i="1"/>
  <c r="G86" i="1"/>
  <c r="F86" i="1"/>
  <c r="R87" i="1"/>
  <c r="Q87" i="1"/>
  <c r="P87" i="1"/>
  <c r="H87" i="1"/>
  <c r="G87" i="1"/>
  <c r="F87" i="1"/>
  <c r="H90" i="1"/>
  <c r="G90" i="1"/>
  <c r="F90" i="1"/>
  <c r="E39" i="1"/>
  <c r="D39" i="1"/>
  <c r="B39" i="1"/>
  <c r="R91" i="1"/>
  <c r="Q91" i="1"/>
  <c r="P91" i="1"/>
  <c r="R42" i="1"/>
  <c r="Q42" i="1"/>
  <c r="P42" i="1"/>
  <c r="Q25" i="1"/>
  <c r="P25" i="1"/>
  <c r="O25" i="1"/>
  <c r="Q92" i="1"/>
  <c r="P92" i="1"/>
  <c r="O92" i="1"/>
  <c r="K20" i="1"/>
  <c r="J20" i="1"/>
  <c r="A20" i="1"/>
  <c r="H32" i="1"/>
  <c r="B32" i="1"/>
  <c r="A32" i="1"/>
  <c r="H38" i="1"/>
  <c r="D38" i="1"/>
  <c r="A38" i="1"/>
  <c r="K47" i="1"/>
  <c r="J47" i="1"/>
  <c r="H47" i="1"/>
  <c r="G47" i="1"/>
  <c r="F47" i="1"/>
  <c r="E47" i="1"/>
  <c r="B47" i="1"/>
  <c r="R45" i="1"/>
  <c r="P45" i="1"/>
  <c r="O45" i="1"/>
  <c r="K45" i="1"/>
  <c r="J45" i="1"/>
  <c r="H45" i="1"/>
  <c r="G45" i="1"/>
  <c r="F45" i="1"/>
  <c r="E45" i="1"/>
  <c r="B45" i="1"/>
  <c r="K48" i="1"/>
  <c r="J48" i="1"/>
  <c r="H48" i="1"/>
  <c r="G48" i="1"/>
  <c r="F48" i="1"/>
  <c r="E48" i="1"/>
  <c r="B48" i="1"/>
  <c r="K46" i="1"/>
  <c r="J46" i="1"/>
  <c r="H46" i="1"/>
  <c r="G46" i="1"/>
  <c r="F46" i="1"/>
  <c r="E46" i="1"/>
  <c r="B46" i="1"/>
  <c r="J54" i="1"/>
  <c r="H54" i="1"/>
  <c r="G54" i="1"/>
  <c r="F54" i="1"/>
  <c r="E54" i="1"/>
  <c r="B54" i="1"/>
  <c r="R52" i="1"/>
  <c r="P52" i="1"/>
  <c r="O52" i="1"/>
  <c r="J52" i="1"/>
  <c r="H52" i="1"/>
  <c r="G52" i="1"/>
  <c r="F52" i="1"/>
  <c r="E52" i="1"/>
  <c r="B52" i="1"/>
  <c r="J55" i="1"/>
  <c r="H55" i="1"/>
  <c r="G55" i="1"/>
  <c r="F55" i="1"/>
  <c r="E55" i="1"/>
  <c r="B55" i="1"/>
  <c r="J53" i="1"/>
  <c r="H53" i="1"/>
  <c r="G53" i="1"/>
  <c r="F53" i="1"/>
  <c r="E53" i="1"/>
  <c r="B53" i="1"/>
  <c r="R69" i="1"/>
  <c r="P69" i="1"/>
  <c r="O69" i="1"/>
  <c r="R82" i="1"/>
  <c r="P82" i="1"/>
  <c r="O82" i="1"/>
  <c r="H82" i="1"/>
  <c r="G82" i="1"/>
  <c r="F82" i="1"/>
  <c r="H88" i="1"/>
  <c r="G88" i="1"/>
  <c r="F88" i="1"/>
  <c r="R6" i="1"/>
  <c r="P6" i="1"/>
  <c r="O6" i="1"/>
  <c r="R5" i="1"/>
  <c r="P5" i="1"/>
  <c r="O5" i="1"/>
  <c r="K49" i="1"/>
  <c r="J49" i="1"/>
  <c r="H49" i="1"/>
  <c r="G49" i="1"/>
  <c r="F49" i="1"/>
  <c r="E49" i="1"/>
  <c r="B49" i="1"/>
  <c r="J56" i="1"/>
  <c r="H56" i="1"/>
  <c r="G56" i="1"/>
  <c r="F56" i="1"/>
  <c r="E56" i="1"/>
  <c r="B56" i="1"/>
  <c r="H89" i="1"/>
  <c r="G89" i="1"/>
  <c r="F89" i="1"/>
  <c r="U2" i="1"/>
  <c r="V2" i="1" s="1"/>
  <c r="S2" i="1"/>
  <c r="T2" i="1" s="1"/>
  <c r="AG55" i="1" l="1"/>
  <c r="AH55" i="1" s="1"/>
  <c r="S55" i="1"/>
  <c r="Y55" i="1"/>
  <c r="AE55" i="1"/>
  <c r="AF55" i="1" s="1"/>
  <c r="U92" i="1"/>
  <c r="AI92" i="1"/>
  <c r="AJ92" i="1" s="1"/>
  <c r="AA92" i="1"/>
  <c r="Y50" i="1"/>
  <c r="AE50" i="1"/>
  <c r="AF50" i="1" s="1"/>
  <c r="AG50" i="1"/>
  <c r="AH50" i="1" s="1"/>
  <c r="S50" i="1"/>
  <c r="AA52" i="1"/>
  <c r="AB52" i="1" s="1"/>
  <c r="U52" i="1"/>
  <c r="V52" i="1" s="1"/>
  <c r="AI52" i="1"/>
  <c r="AJ52" i="1" s="1"/>
  <c r="Y48" i="1"/>
  <c r="AE48" i="1"/>
  <c r="AF48" i="1" s="1"/>
  <c r="AG48" i="1"/>
  <c r="AH48" i="1" s="1"/>
  <c r="S48" i="1"/>
  <c r="AE83" i="1"/>
  <c r="AF83" i="1" s="1"/>
  <c r="AG83" i="1"/>
  <c r="AH83" i="1" s="1"/>
  <c r="S83" i="1"/>
  <c r="Y83" i="1"/>
  <c r="U84" i="1"/>
  <c r="V84" i="1" s="1"/>
  <c r="AA84" i="1"/>
  <c r="AB84" i="1" s="1"/>
  <c r="AI84" i="1"/>
  <c r="AJ84" i="1" s="1"/>
  <c r="Y90" i="1"/>
  <c r="AE90" i="1"/>
  <c r="AF90" i="1" s="1"/>
  <c r="S90" i="1"/>
  <c r="AG90" i="1"/>
  <c r="AH90" i="1" s="1"/>
  <c r="AA69" i="1"/>
  <c r="U69" i="1"/>
  <c r="AI69" i="1"/>
  <c r="AJ69" i="1" s="1"/>
  <c r="Y38" i="1"/>
  <c r="AE38" i="1"/>
  <c r="AF38" i="1" s="1"/>
  <c r="AG38" i="1"/>
  <c r="AH38" i="1" s="1"/>
  <c r="S38" i="1"/>
  <c r="Y86" i="1"/>
  <c r="AE86" i="1"/>
  <c r="AF86" i="1" s="1"/>
  <c r="AG86" i="1"/>
  <c r="AH86" i="1" s="1"/>
  <c r="S86" i="1"/>
  <c r="Y85" i="1"/>
  <c r="AG85" i="1"/>
  <c r="AH85" i="1" s="1"/>
  <c r="AE85" i="1"/>
  <c r="AF85" i="1" s="1"/>
  <c r="S85" i="1"/>
  <c r="Y53" i="1"/>
  <c r="S53" i="1"/>
  <c r="AE53" i="1"/>
  <c r="AF53" i="1" s="1"/>
  <c r="AG53" i="1"/>
  <c r="AH53" i="1" s="1"/>
  <c r="AE32" i="1"/>
  <c r="AF32" i="1" s="1"/>
  <c r="AG32" i="1"/>
  <c r="AH32" i="1" s="1"/>
  <c r="S32" i="1"/>
  <c r="X32" i="1" s="1"/>
  <c r="Y32" i="1"/>
  <c r="AC32" i="1" s="1"/>
  <c r="Z32" i="1"/>
  <c r="AD32" i="1" s="1"/>
  <c r="AI42" i="1"/>
  <c r="AJ42" i="1" s="1"/>
  <c r="AA42" i="1"/>
  <c r="U42" i="1"/>
  <c r="Y87" i="1"/>
  <c r="AE87" i="1"/>
  <c r="AF87" i="1" s="1"/>
  <c r="AG87" i="1"/>
  <c r="AH87" i="1" s="1"/>
  <c r="S87" i="1"/>
  <c r="U85" i="1"/>
  <c r="V85" i="1" s="1"/>
  <c r="AI85" i="1"/>
  <c r="AJ85" i="1" s="1"/>
  <c r="AA85" i="1"/>
  <c r="AB85" i="1" s="1"/>
  <c r="S51" i="1"/>
  <c r="Y51" i="1"/>
  <c r="AE51" i="1"/>
  <c r="AF51" i="1" s="1"/>
  <c r="AG51" i="1"/>
  <c r="AH51" i="1" s="1"/>
  <c r="Y49" i="1"/>
  <c r="AG49" i="1"/>
  <c r="AH49" i="1" s="1"/>
  <c r="AE49" i="1"/>
  <c r="AF49" i="1" s="1"/>
  <c r="S49" i="1"/>
  <c r="AA5" i="1"/>
  <c r="U5" i="1"/>
  <c r="AI5" i="1"/>
  <c r="AJ5" i="1" s="1"/>
  <c r="S39" i="1"/>
  <c r="Y39" i="1"/>
  <c r="AE39" i="1"/>
  <c r="AF39" i="1" s="1"/>
  <c r="AG39" i="1"/>
  <c r="AH39" i="1" s="1"/>
  <c r="AI6" i="1"/>
  <c r="AJ6" i="1" s="1"/>
  <c r="AA6" i="1"/>
  <c r="U6" i="1"/>
  <c r="AE82" i="1"/>
  <c r="AF82" i="1" s="1"/>
  <c r="AG82" i="1"/>
  <c r="AH82" i="1" s="1"/>
  <c r="S82" i="1"/>
  <c r="Y82" i="1"/>
  <c r="S47" i="1"/>
  <c r="AE47" i="1"/>
  <c r="AF47" i="1" s="1"/>
  <c r="AG47" i="1"/>
  <c r="AH47" i="1" s="1"/>
  <c r="Y47" i="1"/>
  <c r="U50" i="1"/>
  <c r="V50" i="1" s="1"/>
  <c r="AI50" i="1"/>
  <c r="AJ50" i="1" s="1"/>
  <c r="AA50" i="1"/>
  <c r="AB50" i="1" s="1"/>
  <c r="AA45" i="1"/>
  <c r="AB45" i="1" s="1"/>
  <c r="U45" i="1"/>
  <c r="V45" i="1" s="1"/>
  <c r="AI45" i="1"/>
  <c r="AJ45" i="1" s="1"/>
  <c r="S89" i="1"/>
  <c r="AE89" i="1"/>
  <c r="AF89" i="1" s="1"/>
  <c r="AG89" i="1"/>
  <c r="AH89" i="1" s="1"/>
  <c r="Y89" i="1"/>
  <c r="AE20" i="1"/>
  <c r="AF20" i="1" s="1"/>
  <c r="AG20" i="1"/>
  <c r="AH20" i="1" s="1"/>
  <c r="S20" i="1"/>
  <c r="X20" i="1" s="1"/>
  <c r="Y20" i="1"/>
  <c r="AC20" i="1" s="1"/>
  <c r="T20" i="1"/>
  <c r="W20" i="1" s="1"/>
  <c r="Z20" i="1"/>
  <c r="AD20" i="1" s="1"/>
  <c r="U91" i="1"/>
  <c r="AI91" i="1"/>
  <c r="AJ91" i="1" s="1"/>
  <c r="AA91" i="1"/>
  <c r="AA87" i="1"/>
  <c r="AB87" i="1" s="1"/>
  <c r="U87" i="1"/>
  <c r="V87" i="1" s="1"/>
  <c r="AI87" i="1"/>
  <c r="AJ87" i="1" s="1"/>
  <c r="Y84" i="1"/>
  <c r="AE84" i="1"/>
  <c r="AF84" i="1" s="1"/>
  <c r="AG84" i="1"/>
  <c r="AH84" i="1" s="1"/>
  <c r="S84" i="1"/>
  <c r="U82" i="1"/>
  <c r="V82" i="1" s="1"/>
  <c r="AI82" i="1"/>
  <c r="AJ82" i="1" s="1"/>
  <c r="AA82" i="1"/>
  <c r="AB82" i="1" s="1"/>
  <c r="AE54" i="1"/>
  <c r="AF54" i="1" s="1"/>
  <c r="AG54" i="1"/>
  <c r="AH54" i="1" s="1"/>
  <c r="S54" i="1"/>
  <c r="Y54" i="1"/>
  <c r="AI25" i="1"/>
  <c r="AJ25" i="1" s="1"/>
  <c r="AA25" i="1"/>
  <c r="U25" i="1"/>
  <c r="S88" i="1"/>
  <c r="Y88" i="1"/>
  <c r="AG88" i="1"/>
  <c r="AH88" i="1" s="1"/>
  <c r="AE88" i="1"/>
  <c r="AF88" i="1" s="1"/>
  <c r="S52" i="1"/>
  <c r="Y52" i="1"/>
  <c r="AE52" i="1"/>
  <c r="AF52" i="1" s="1"/>
  <c r="AG52" i="1"/>
  <c r="AH52" i="1" s="1"/>
  <c r="AE46" i="1"/>
  <c r="AF46" i="1" s="1"/>
  <c r="AG46" i="1"/>
  <c r="AH46" i="1" s="1"/>
  <c r="S46" i="1"/>
  <c r="Y46" i="1"/>
  <c r="AE56" i="1"/>
  <c r="AF56" i="1" s="1"/>
  <c r="AG56" i="1"/>
  <c r="AH56" i="1" s="1"/>
  <c r="Y56" i="1"/>
  <c r="S56" i="1"/>
  <c r="AE45" i="1"/>
  <c r="AF45" i="1" s="1"/>
  <c r="AG45" i="1"/>
  <c r="AH45" i="1" s="1"/>
  <c r="Y45" i="1"/>
  <c r="S45" i="1"/>
  <c r="W2" i="1"/>
  <c r="X2" i="1"/>
  <c r="T52" i="1" l="1"/>
  <c r="W52" i="1" s="1"/>
  <c r="X52" i="1"/>
  <c r="V91" i="1"/>
  <c r="W91" i="1" s="1"/>
  <c r="X91" i="1"/>
  <c r="X53" i="1"/>
  <c r="T53" i="1"/>
  <c r="W53" i="1" s="1"/>
  <c r="AC53" i="1"/>
  <c r="Z53" i="1"/>
  <c r="AD53" i="1" s="1"/>
  <c r="Z88" i="1"/>
  <c r="AD88" i="1" s="1"/>
  <c r="AC88" i="1"/>
  <c r="V69" i="1"/>
  <c r="W69" i="1" s="1"/>
  <c r="X69" i="1"/>
  <c r="Z50" i="1"/>
  <c r="AD50" i="1" s="1"/>
  <c r="AC50" i="1"/>
  <c r="Z38" i="1"/>
  <c r="AD38" i="1" s="1"/>
  <c r="AC38" i="1"/>
  <c r="AB42" i="1"/>
  <c r="AD42" i="1" s="1"/>
  <c r="AC42" i="1"/>
  <c r="AC46" i="1"/>
  <c r="Z46" i="1"/>
  <c r="AD46" i="1" s="1"/>
  <c r="V25" i="1"/>
  <c r="W25" i="1" s="1"/>
  <c r="X25" i="1"/>
  <c r="AC47" i="1"/>
  <c r="Z47" i="1"/>
  <c r="AD47" i="1" s="1"/>
  <c r="Z51" i="1"/>
  <c r="AD51" i="1" s="1"/>
  <c r="AC51" i="1"/>
  <c r="T32" i="1"/>
  <c r="W32" i="1" s="1"/>
  <c r="AB69" i="1"/>
  <c r="AD69" i="1" s="1"/>
  <c r="AC69" i="1"/>
  <c r="X48" i="1"/>
  <c r="T48" i="1"/>
  <c r="W48" i="1" s="1"/>
  <c r="AB92" i="1"/>
  <c r="AD92" i="1" s="1"/>
  <c r="AC92" i="1"/>
  <c r="AC56" i="1"/>
  <c r="Z56" i="1"/>
  <c r="AD56" i="1" s="1"/>
  <c r="Z49" i="1"/>
  <c r="AD49" i="1" s="1"/>
  <c r="AC49" i="1"/>
  <c r="Z39" i="1"/>
  <c r="AD39" i="1" s="1"/>
  <c r="AC39" i="1"/>
  <c r="T51" i="1"/>
  <c r="W51" i="1" s="1"/>
  <c r="X51" i="1"/>
  <c r="Z85" i="1"/>
  <c r="AD85" i="1" s="1"/>
  <c r="AC85" i="1"/>
  <c r="Z87" i="1"/>
  <c r="AD87" i="1" s="1"/>
  <c r="AC87" i="1"/>
  <c r="X46" i="1"/>
  <c r="T46" i="1"/>
  <c r="W46" i="1" s="1"/>
  <c r="AB25" i="1"/>
  <c r="AD25" i="1" s="1"/>
  <c r="AC25" i="1"/>
  <c r="Z84" i="1"/>
  <c r="AD84" i="1" s="1"/>
  <c r="AC84" i="1"/>
  <c r="AC89" i="1"/>
  <c r="Z89" i="1"/>
  <c r="AD89" i="1" s="1"/>
  <c r="X39" i="1"/>
  <c r="T39" i="1"/>
  <c r="W39" i="1" s="1"/>
  <c r="T86" i="1"/>
  <c r="W86" i="1" s="1"/>
  <c r="X86" i="1"/>
  <c r="X90" i="1"/>
  <c r="T90" i="1"/>
  <c r="W90" i="1" s="1"/>
  <c r="V92" i="1"/>
  <c r="W92" i="1" s="1"/>
  <c r="X92" i="1"/>
  <c r="V6" i="1"/>
  <c r="W6" i="1" s="1"/>
  <c r="X6" i="1"/>
  <c r="Z83" i="1"/>
  <c r="AD83" i="1" s="1"/>
  <c r="AC83" i="1"/>
  <c r="T83" i="1"/>
  <c r="W83" i="1" s="1"/>
  <c r="X83" i="1"/>
  <c r="X84" i="1"/>
  <c r="T84" i="1"/>
  <c r="W84" i="1" s="1"/>
  <c r="T47" i="1"/>
  <c r="W47" i="1" s="1"/>
  <c r="X47" i="1"/>
  <c r="AC48" i="1"/>
  <c r="Z48" i="1"/>
  <c r="AD48" i="1" s="1"/>
  <c r="T50" i="1"/>
  <c r="W50" i="1" s="1"/>
  <c r="X50" i="1"/>
  <c r="T54" i="1"/>
  <c r="W54" i="1" s="1"/>
  <c r="X54" i="1"/>
  <c r="AC82" i="1"/>
  <c r="Z82" i="1"/>
  <c r="AD82" i="1" s="1"/>
  <c r="V5" i="1"/>
  <c r="W5" i="1" s="1"/>
  <c r="X5" i="1"/>
  <c r="AC90" i="1"/>
  <c r="Z90" i="1"/>
  <c r="AD90" i="1" s="1"/>
  <c r="AC55" i="1"/>
  <c r="Z55" i="1"/>
  <c r="AD55" i="1" s="1"/>
  <c r="Z52" i="1"/>
  <c r="AD52" i="1" s="1"/>
  <c r="AC52" i="1"/>
  <c r="X56" i="1"/>
  <c r="T56" i="1"/>
  <c r="W56" i="1" s="1"/>
  <c r="AB6" i="1"/>
  <c r="AD6" i="1" s="1"/>
  <c r="AC6" i="1"/>
  <c r="V42" i="1"/>
  <c r="W42" i="1" s="1"/>
  <c r="X42" i="1"/>
  <c r="T85" i="1"/>
  <c r="W85" i="1" s="1"/>
  <c r="X85" i="1"/>
  <c r="X88" i="1"/>
  <c r="T88" i="1"/>
  <c r="W88" i="1" s="1"/>
  <c r="Z54" i="1"/>
  <c r="AD54" i="1" s="1"/>
  <c r="AC54" i="1"/>
  <c r="T45" i="1"/>
  <c r="W45" i="1" s="1"/>
  <c r="X45" i="1"/>
  <c r="AC45" i="1"/>
  <c r="Z45" i="1"/>
  <c r="AD45" i="1" s="1"/>
  <c r="AB91" i="1"/>
  <c r="AD91" i="1" s="1"/>
  <c r="AC91" i="1"/>
  <c r="X89" i="1"/>
  <c r="T89" i="1"/>
  <c r="W89" i="1" s="1"/>
  <c r="T82" i="1"/>
  <c r="W82" i="1" s="1"/>
  <c r="X82" i="1"/>
  <c r="AB5" i="1"/>
  <c r="AD5" i="1" s="1"/>
  <c r="AC5" i="1"/>
  <c r="X87" i="1"/>
  <c r="T87" i="1"/>
  <c r="W87" i="1" s="1"/>
  <c r="Z86" i="1"/>
  <c r="AD86" i="1" s="1"/>
  <c r="AC86" i="1"/>
  <c r="T55" i="1"/>
  <c r="W55" i="1" s="1"/>
  <c r="X55" i="1"/>
  <c r="X49" i="1"/>
  <c r="T49" i="1"/>
  <c r="W49" i="1" s="1"/>
  <c r="T38" i="1"/>
  <c r="W38" i="1" s="1"/>
  <c r="X38" i="1"/>
</calcChain>
</file>

<file path=xl/sharedStrings.xml><?xml version="1.0" encoding="utf-8"?>
<sst xmlns="http://schemas.openxmlformats.org/spreadsheetml/2006/main" count="37" uniqueCount="37">
  <si>
    <t>A1 Radius</t>
  </si>
  <si>
    <t>B1 Radius</t>
  </si>
  <si>
    <t>RA1/RB1</t>
  </si>
  <si>
    <t>A VEC</t>
  </si>
  <si>
    <t>A electro</t>
  </si>
  <si>
    <t>B electro</t>
  </si>
  <si>
    <t>Phase</t>
    <phoneticPr fontId="2" type="noConversion"/>
  </si>
  <si>
    <t>A1 delta R</t>
  </si>
  <si>
    <t>B1 delta R</t>
  </si>
  <si>
    <t>size disorder</t>
  </si>
  <si>
    <t>mass A</t>
  </si>
  <si>
    <t>mass B</t>
  </si>
  <si>
    <t>delta mass A</t>
  </si>
  <si>
    <t>delta mass B</t>
  </si>
  <si>
    <t>delta A VEC</t>
  </si>
  <si>
    <t>mass A/B</t>
  </si>
  <si>
    <t>delta A electro</t>
  </si>
  <si>
    <t>delta B electro</t>
  </si>
  <si>
    <t>X_Y</t>
  </si>
  <si>
    <t>X_La</t>
  </si>
  <si>
    <t>X_Ce</t>
  </si>
  <si>
    <t>X_Pr</t>
  </si>
  <si>
    <t>X_Sm</t>
  </si>
  <si>
    <t>X_Eu</t>
  </si>
  <si>
    <t>X_Gd</t>
  </si>
  <si>
    <t>X_Tb</t>
  </si>
  <si>
    <t>X_Dy</t>
  </si>
  <si>
    <t>X_Ho</t>
  </si>
  <si>
    <t>X_Er</t>
  </si>
  <si>
    <t>X_Yb</t>
  </si>
  <si>
    <t>X_Lu</t>
  </si>
  <si>
    <t>X_Ti</t>
  </si>
  <si>
    <t>X_Zr</t>
  </si>
  <si>
    <t>X_Hf</t>
  </si>
  <si>
    <t>X_Sn</t>
  </si>
  <si>
    <t>X_Nd</t>
  </si>
  <si>
    <t>mass 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</si>
</sst>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name val="Calibri"/>
      <family val="3"/>
      <charset val="134"/>
      <scheme val="minor"/>
    </font>
    <font>
      <sz val="11"/>
      <color rgb="FF9C0006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6" fillId="2" borderId="2" xfId="1" applyFont="1" applyBorder="1" applyAlignment="1">
      <alignment horizontal="center" vertical="top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7"/>
  <sheetViews>
    <sheetView tabSelected="1" topLeftCell="M1" zoomScale="85" zoomScaleNormal="85" workbookViewId="0">
      <selection activeCell="AD1" sqref="AD1"/>
    </sheetView>
  </sheetViews>
  <sheetFormatPr baseColWidth="10" defaultColWidth="8.83203125" defaultRowHeight="15" x14ac:dyDescent="0.2"/>
  <cols>
    <col min="1" max="17" width="8.83203125" style="4"/>
    <col min="18" max="18" width="12.5" style="4" customWidth="1"/>
    <col min="19" max="21" width="9.1640625" style="4" customWidth="1"/>
    <col min="22" max="22" width="9.83203125" style="4" customWidth="1"/>
    <col min="23" max="23" width="13.33203125" style="4" customWidth="1"/>
    <col min="24" max="25" width="9.1640625" style="4" customWidth="1"/>
    <col min="26" max="26" width="14" style="4" customWidth="1"/>
    <col min="27" max="27" width="9.1640625" style="4" customWidth="1"/>
    <col min="28" max="36" width="14.1640625" style="4" customWidth="1"/>
    <col min="37" max="16384" width="8.83203125" style="4"/>
  </cols>
  <sheetData>
    <row r="1" spans="1:37" s="7" customFormat="1" x14ac:dyDescent="0.2">
      <c r="A1" s="1" t="s">
        <v>18</v>
      </c>
      <c r="B1" s="1" t="s">
        <v>19</v>
      </c>
      <c r="C1" s="1" t="s">
        <v>20</v>
      </c>
      <c r="D1" s="1" t="s">
        <v>21</v>
      </c>
      <c r="E1" s="1" t="s">
        <v>35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0</v>
      </c>
      <c r="T1" s="1" t="s">
        <v>7</v>
      </c>
      <c r="U1" s="1" t="s">
        <v>1</v>
      </c>
      <c r="V1" s="1" t="s">
        <v>8</v>
      </c>
      <c r="W1" s="1" t="s">
        <v>9</v>
      </c>
      <c r="X1" s="1" t="s">
        <v>2</v>
      </c>
      <c r="Y1" s="2" t="s">
        <v>10</v>
      </c>
      <c r="Z1" s="2" t="s">
        <v>12</v>
      </c>
      <c r="AA1" s="2" t="s">
        <v>11</v>
      </c>
      <c r="AB1" s="2" t="s">
        <v>13</v>
      </c>
      <c r="AC1" s="2" t="s">
        <v>15</v>
      </c>
      <c r="AD1" s="2" t="s">
        <v>36</v>
      </c>
      <c r="AE1" s="2" t="s">
        <v>3</v>
      </c>
      <c r="AF1" s="2" t="s">
        <v>14</v>
      </c>
      <c r="AG1" s="5" t="s">
        <v>4</v>
      </c>
      <c r="AH1" s="5" t="s">
        <v>16</v>
      </c>
      <c r="AI1" s="5" t="s">
        <v>5</v>
      </c>
      <c r="AJ1" s="5" t="s">
        <v>17</v>
      </c>
      <c r="AK1" s="6" t="s">
        <v>6</v>
      </c>
    </row>
    <row r="2" spans="1:37" x14ac:dyDescent="0.2">
      <c r="A2" s="4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1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1</v>
      </c>
      <c r="S2" s="4">
        <f t="shared" ref="S2:S65" si="0">(A2*101.9+B2*116+C2*114.3+D2*112.6+E2*110.9+F2*107.9+G2*103.3+H2*105.3+I2*104+J2*102.7+K2*101.5+L2*100.2+M2*98.5+N2*97.8)/(SUM(A2:N2))</f>
        <v>105.3</v>
      </c>
      <c r="T2" s="4">
        <f t="shared" ref="T2:T65" si="1">SQRT(A2*(1-(101.9/S2))^2+B2*(1-(116/S2))^2+C2*(1-(114.3/S2))^2+D2*(1-(112.6/S2))^2+E2*(1-(110.9/S2))^2+F2*(1-(107.9/S2))^2+G2*(1-(103.3/S2))^2+H2*(1-(105.3/S2))^2+I2*(1-(104/S2))^2+J2*(1-(102.7/S2))^2+K2*(1-(101.5/S2))^2+L2*(1-(100.2/S2))^2+M2*(1-(98.5/S2))^2+N2*(1-(97.8/S2))^2)</f>
        <v>0</v>
      </c>
      <c r="U2" s="4">
        <f t="shared" ref="U2:U65" si="2">(O2*60.5+P2*72+Q2*71+R2*69)/(SUM(O2:R2))</f>
        <v>69</v>
      </c>
      <c r="V2" s="4">
        <f t="shared" ref="V2:V65" si="3">SQRT(O2*(1-(60.5/U2))^2+P2*(1-(72/U2))^2+Q2*(1-(71/U2))^2+R2*(1-(69/U2))^2)</f>
        <v>0</v>
      </c>
      <c r="W2" s="4">
        <f t="shared" ref="W2:W65" si="4">SQRT(T2^2+V2^2)</f>
        <v>0</v>
      </c>
      <c r="X2" s="4">
        <f t="shared" ref="X2:X65" si="5">S2/U2</f>
        <v>1.526086956521739</v>
      </c>
      <c r="Y2" s="4">
        <f t="shared" ref="Y2:Y65" si="6">(A2*88.9+B2*138.9+C2*140.1+D2*140.9+E2*144.2+F2*150.3+G2*152+H2*157.3+I2*158.9+J2*162.5+K2*164.9+L2*167.3+M2*173+N2*175)/(SUM(A2:N2))</f>
        <v>157.30000000000001</v>
      </c>
      <c r="Z2" s="4">
        <f>SQRT(A2*(1-(88.9/Y2))^2+B2*(1-(138.9/Y2))^2+C2*(1-(140.1/Y2))^2+D2*(1-(140.9/Y2))^2+E2*(1-(144.2/Y2))^2+F2*(1-(150.3/Y2))^2+G2*(1-(152/Y2))^2+H2*(1-(157.3/Y2))^2+I2*(1-(158.9/Y2))^2+J2*(1-(162.5/Y2))^2+K2*(1-(164.9/Y2))^2+L2*(1-(167.3/Y2))^2+M2*(1-(173/Y2))^2+N2*(1-(175/Y2))^2)</f>
        <v>0</v>
      </c>
      <c r="AA2" s="4">
        <f t="shared" ref="AA2:AA65" si="7">(O2*47.9+P2*91+Q2*178+R2*118.7)/(SUM(O2:R2))</f>
        <v>118.7</v>
      </c>
      <c r="AB2" s="4">
        <f t="shared" ref="AB2:AB65" si="8">SQRT(O2*(1-(47.9/AA2))^2+P2*(1-(91/AA2))^2+Q2*(1-(178/AA2))^2+R2*(1-(118.7/AA2))^2)</f>
        <v>0</v>
      </c>
      <c r="AC2" s="4">
        <f t="shared" ref="AC2:AC65" si="9">Y2/AA2</f>
        <v>1.325189553496209</v>
      </c>
      <c r="AD2" s="4">
        <f>SQRT(Z2^2+AB2^2)</f>
        <v>0</v>
      </c>
      <c r="AE2" s="4">
        <f t="shared" ref="AE2:AE65" si="10">(A2*3+B2*3+C2*4+D2*5+E2*6+F2*8+G2*9+H2*10+I2*11+J2*12+K2*13+L2*14+M2*16+N2*3)/(SUM(A2:N2))</f>
        <v>10</v>
      </c>
      <c r="AF2" s="4">
        <f t="shared" ref="AF2:AF65" si="11">SQRT(A2*(1-(3/AE2))^2+B2*(1-(3/AE2))^2+C2*(1-(4/AE2))^2+D2*(1-(5/AE2))^2+E2*(1-(6/AE2))^2+F2*(1-(8/AE2))^2+G2*(1-(9/AE2))^2+H2*(1-(10/AE2))^2+I2*(1-(11/AE2))^2+J2*(1-(12/AE2))^2+K2*(1-(13/AE2))^2+L2*(1-(14/AE2))^2+M2*(1-(16/AE2))^2+N2*(1-(3/AE2))^2)</f>
        <v>0</v>
      </c>
      <c r="AG2" s="4">
        <f t="shared" ref="AG2:AG65" si="12">(A2*1.22+B2*1.1+C2*1.12+D2*1.13+E2*1.14+F2*1.17+G2*1.2+H2*1.2+I2*1.22+J2*1.23+K2*1.24+L2*1.24+M2*1.1+N2*1.27)/(SUM(A2:N2))</f>
        <v>1.2</v>
      </c>
      <c r="AH2" s="4">
        <f t="shared" ref="AH2:AH65" si="13">SQRT(A2*(1-(1.22/AG2))^2+B2*(1-(1.1/AG2))^2+C2*(1-(1.12/AG2))^2+D2*(1-(1.13/AG2))^2+E2*(1-(1.14/AG2))^2+F2*(1-(1.17/AG2))^2+G2*(1-(1.2/AG2))^2+H2*(1-(1.2/AG2))^2+I2*(1-(1.22/AG2))^2+J2*(1-(1.23/AG2))^2+K2*(1-(1.24/AG2))^2+L2*(1-(1.24/AG2))^2+M2*(1-(1.1/AG2))^2+N2*(1-(1.27/AG2))^2)</f>
        <v>0</v>
      </c>
      <c r="AI2" s="4">
        <f t="shared" ref="AI2:AI65" si="14">(O2*1.54+P2*1.33+Q2*1.3+R2*1.96)/(SUM(O2:R2))</f>
        <v>1.96</v>
      </c>
      <c r="AJ2" s="4">
        <f t="shared" ref="AJ2:AJ65" si="15">SQRT(O2*(1-(1.54/AI2))^2+P2*(1-(1.33/AI2))^2+Q2*(1-(1.3/AI2))^2+R2*(1-(1.96/AI2))^2)</f>
        <v>0</v>
      </c>
      <c r="AK2" s="4">
        <v>1</v>
      </c>
    </row>
    <row r="3" spans="1:37" x14ac:dyDescent="0.2">
      <c r="A3" s="4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1</v>
      </c>
      <c r="S3" s="4">
        <f t="shared" si="0"/>
        <v>101.9</v>
      </c>
      <c r="T3" s="4">
        <f t="shared" si="1"/>
        <v>0</v>
      </c>
      <c r="U3" s="4">
        <f t="shared" si="2"/>
        <v>69</v>
      </c>
      <c r="V3" s="4">
        <f t="shared" si="3"/>
        <v>0</v>
      </c>
      <c r="W3" s="4">
        <f t="shared" si="4"/>
        <v>0</v>
      </c>
      <c r="X3" s="4">
        <f t="shared" si="5"/>
        <v>1.4768115942028985</v>
      </c>
      <c r="Y3" s="4">
        <f t="shared" si="6"/>
        <v>88.9</v>
      </c>
      <c r="Z3" s="4">
        <f t="shared" ref="Z3:Z65" si="16">SQRT(A3*(1-(88.9/Y3))^2+B3*(1-(138.9/Y3))^2+C3*(1-(140.1/Y3))^2+D3*(1-(140.9/Y3))^2+E3*(1-(144.2/Y3))^2+F3*(1-(150.3/Y3))^2+G3*(1-(152/Y3))^2+H3*(1-(157.3/Y3))^2+I3*(1-(158.9/Y3))^2+J3*(1-(162.5/Y3))^2+K3*(1-(164.9/Y3))^2+L3*(1-(167.3/Y3))^2+M3*(1-(173/Y3))^2+N3*(1-(175/Y3))^2)</f>
        <v>0</v>
      </c>
      <c r="AA3" s="4">
        <f t="shared" si="7"/>
        <v>118.7</v>
      </c>
      <c r="AB3" s="4">
        <f t="shared" si="8"/>
        <v>0</v>
      </c>
      <c r="AC3" s="4">
        <f t="shared" si="9"/>
        <v>0.74894692502106153</v>
      </c>
      <c r="AD3" s="4">
        <f t="shared" ref="AD3:AD65" si="17">SQRT(Z3^2+AB3^2)</f>
        <v>0</v>
      </c>
      <c r="AE3" s="4">
        <f t="shared" si="10"/>
        <v>3</v>
      </c>
      <c r="AF3" s="4">
        <f t="shared" si="11"/>
        <v>0</v>
      </c>
      <c r="AG3" s="4">
        <f t="shared" si="12"/>
        <v>1.22</v>
      </c>
      <c r="AH3" s="4">
        <f t="shared" si="13"/>
        <v>0</v>
      </c>
      <c r="AI3" s="4">
        <f t="shared" si="14"/>
        <v>1.96</v>
      </c>
      <c r="AJ3" s="4">
        <f t="shared" si="15"/>
        <v>0</v>
      </c>
      <c r="AK3" s="4">
        <v>1</v>
      </c>
    </row>
    <row r="4" spans="1:37" x14ac:dyDescent="0.2">
      <c r="A4" s="4">
        <v>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1</v>
      </c>
      <c r="N4" s="4">
        <v>0</v>
      </c>
      <c r="O4" s="4">
        <v>1</v>
      </c>
      <c r="P4" s="4">
        <v>0</v>
      </c>
      <c r="Q4" s="4">
        <v>0</v>
      </c>
      <c r="R4" s="4">
        <v>0</v>
      </c>
      <c r="S4" s="4">
        <f t="shared" si="0"/>
        <v>98.5</v>
      </c>
      <c r="T4" s="4">
        <f t="shared" si="1"/>
        <v>0</v>
      </c>
      <c r="U4" s="4">
        <f t="shared" si="2"/>
        <v>60.5</v>
      </c>
      <c r="V4" s="4">
        <f t="shared" si="3"/>
        <v>0</v>
      </c>
      <c r="W4" s="4">
        <f t="shared" si="4"/>
        <v>0</v>
      </c>
      <c r="X4" s="4">
        <f t="shared" si="5"/>
        <v>1.6280991735537189</v>
      </c>
      <c r="Y4" s="4">
        <f t="shared" si="6"/>
        <v>173</v>
      </c>
      <c r="Z4" s="4">
        <f t="shared" si="16"/>
        <v>0</v>
      </c>
      <c r="AA4" s="4">
        <f t="shared" si="7"/>
        <v>47.9</v>
      </c>
      <c r="AB4" s="4">
        <f t="shared" si="8"/>
        <v>0</v>
      </c>
      <c r="AC4" s="4">
        <f t="shared" si="9"/>
        <v>3.6116910229645094</v>
      </c>
      <c r="AD4" s="4">
        <f t="shared" si="17"/>
        <v>0</v>
      </c>
      <c r="AE4" s="4">
        <f t="shared" si="10"/>
        <v>16</v>
      </c>
      <c r="AF4" s="4">
        <f t="shared" si="11"/>
        <v>0</v>
      </c>
      <c r="AG4" s="4">
        <f t="shared" si="12"/>
        <v>1.1000000000000001</v>
      </c>
      <c r="AH4" s="4">
        <f t="shared" si="13"/>
        <v>0</v>
      </c>
      <c r="AI4" s="4">
        <f t="shared" si="14"/>
        <v>1.54</v>
      </c>
      <c r="AJ4" s="4">
        <f t="shared" si="15"/>
        <v>0</v>
      </c>
      <c r="AK4" s="4">
        <v>1</v>
      </c>
    </row>
    <row r="5" spans="1:37" x14ac:dyDescent="0.2">
      <c r="A5" s="4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f>1/3</f>
        <v>0.33333333333333331</v>
      </c>
      <c r="P5" s="4">
        <f>1/3</f>
        <v>0.33333333333333331</v>
      </c>
      <c r="Q5" s="4">
        <v>0</v>
      </c>
      <c r="R5" s="4">
        <f>1/3</f>
        <v>0.33333333333333331</v>
      </c>
      <c r="S5" s="4">
        <f t="shared" si="0"/>
        <v>105.3</v>
      </c>
      <c r="T5" s="4">
        <f t="shared" si="1"/>
        <v>0</v>
      </c>
      <c r="U5" s="4">
        <f t="shared" si="2"/>
        <v>67.166666666666657</v>
      </c>
      <c r="V5" s="4">
        <f t="shared" si="3"/>
        <v>7.2514338442692075E-2</v>
      </c>
      <c r="W5" s="4">
        <f t="shared" si="4"/>
        <v>7.2514338442692075E-2</v>
      </c>
      <c r="X5" s="4">
        <f t="shared" si="5"/>
        <v>1.5677419354838711</v>
      </c>
      <c r="Y5" s="4">
        <f t="shared" si="6"/>
        <v>157.30000000000001</v>
      </c>
      <c r="Z5" s="4">
        <f t="shared" si="16"/>
        <v>0</v>
      </c>
      <c r="AA5" s="4">
        <f t="shared" si="7"/>
        <v>85.86666666666666</v>
      </c>
      <c r="AB5" s="4">
        <f t="shared" si="8"/>
        <v>0.33925861924017908</v>
      </c>
      <c r="AC5" s="4">
        <f t="shared" si="9"/>
        <v>1.8319099378881991</v>
      </c>
      <c r="AD5" s="4">
        <f t="shared" si="17"/>
        <v>0.33925861924017908</v>
      </c>
      <c r="AE5" s="4">
        <f t="shared" si="10"/>
        <v>10</v>
      </c>
      <c r="AF5" s="4">
        <f t="shared" si="11"/>
        <v>0</v>
      </c>
      <c r="AG5" s="4">
        <f t="shared" si="12"/>
        <v>1.2</v>
      </c>
      <c r="AH5" s="4">
        <f t="shared" si="13"/>
        <v>0</v>
      </c>
      <c r="AI5" s="4">
        <f t="shared" si="14"/>
        <v>1.6099999999999999</v>
      </c>
      <c r="AJ5" s="4">
        <f t="shared" si="15"/>
        <v>0.16268075594669307</v>
      </c>
      <c r="AK5" s="4">
        <v>1</v>
      </c>
    </row>
    <row r="6" spans="1:37" x14ac:dyDescent="0.2">
      <c r="A6" s="4">
        <v>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0.5</v>
      </c>
      <c r="H6" s="4">
        <v>0.5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f>1/3</f>
        <v>0.33333333333333331</v>
      </c>
      <c r="P6" s="4">
        <f>1/3</f>
        <v>0.33333333333333331</v>
      </c>
      <c r="Q6" s="4">
        <v>0</v>
      </c>
      <c r="R6" s="4">
        <f>1/3</f>
        <v>0.33333333333333331</v>
      </c>
      <c r="S6" s="4">
        <f t="shared" si="0"/>
        <v>104.3</v>
      </c>
      <c r="T6" s="4">
        <f t="shared" si="1"/>
        <v>9.5877277085330559E-3</v>
      </c>
      <c r="U6" s="4">
        <f t="shared" si="2"/>
        <v>67.166666666666657</v>
      </c>
      <c r="V6" s="4">
        <f t="shared" si="3"/>
        <v>7.2514338442692075E-2</v>
      </c>
      <c r="W6" s="4">
        <f t="shared" si="4"/>
        <v>7.3145429128512615E-2</v>
      </c>
      <c r="X6" s="4">
        <f t="shared" si="5"/>
        <v>1.5528535980148885</v>
      </c>
      <c r="Y6" s="4">
        <f t="shared" si="6"/>
        <v>154.65</v>
      </c>
      <c r="Z6" s="4">
        <f t="shared" si="16"/>
        <v>1.7135467183963859E-2</v>
      </c>
      <c r="AA6" s="4">
        <f t="shared" si="7"/>
        <v>85.86666666666666</v>
      </c>
      <c r="AB6" s="4">
        <f t="shared" si="8"/>
        <v>0.33925861924017908</v>
      </c>
      <c r="AC6" s="4">
        <f t="shared" si="9"/>
        <v>1.801048136645963</v>
      </c>
      <c r="AD6" s="4">
        <f t="shared" si="17"/>
        <v>0.33969108755509836</v>
      </c>
      <c r="AE6" s="4">
        <f t="shared" si="10"/>
        <v>9.5</v>
      </c>
      <c r="AF6" s="4">
        <f t="shared" si="11"/>
        <v>5.2631578947368418E-2</v>
      </c>
      <c r="AG6" s="4">
        <f t="shared" si="12"/>
        <v>1.2</v>
      </c>
      <c r="AH6" s="4">
        <f t="shared" si="13"/>
        <v>0</v>
      </c>
      <c r="AI6" s="4">
        <f t="shared" si="14"/>
        <v>1.6099999999999999</v>
      </c>
      <c r="AJ6" s="4">
        <f t="shared" si="15"/>
        <v>0.16268075594669307</v>
      </c>
      <c r="AK6" s="4">
        <v>1</v>
      </c>
    </row>
    <row r="7" spans="1:37" x14ac:dyDescent="0.2">
      <c r="A7" s="4">
        <v>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0.2</v>
      </c>
      <c r="I7" s="4">
        <v>0.2</v>
      </c>
      <c r="J7" s="4">
        <v>0.2</v>
      </c>
      <c r="K7" s="4">
        <v>0</v>
      </c>
      <c r="L7" s="4">
        <v>0.2</v>
      </c>
      <c r="M7" s="4">
        <v>0.2</v>
      </c>
      <c r="N7" s="4">
        <v>0</v>
      </c>
      <c r="O7" s="4">
        <v>1</v>
      </c>
      <c r="P7" s="4">
        <v>0</v>
      </c>
      <c r="Q7" s="4">
        <v>0</v>
      </c>
      <c r="R7" s="4">
        <v>0</v>
      </c>
      <c r="S7" s="4">
        <f t="shared" si="0"/>
        <v>102.14000000000001</v>
      </c>
      <c r="T7" s="4">
        <f t="shared" si="1"/>
        <v>2.4288293719734771E-2</v>
      </c>
      <c r="U7" s="4">
        <f t="shared" si="2"/>
        <v>60.5</v>
      </c>
      <c r="V7" s="4">
        <f t="shared" si="3"/>
        <v>0</v>
      </c>
      <c r="W7" s="4">
        <f t="shared" si="4"/>
        <v>2.4288293719734771E-2</v>
      </c>
      <c r="X7" s="4">
        <f t="shared" si="5"/>
        <v>1.6882644628099177</v>
      </c>
      <c r="Y7" s="4">
        <f t="shared" si="6"/>
        <v>163.80000000000001</v>
      </c>
      <c r="Z7" s="4">
        <f t="shared" si="16"/>
        <v>3.5053581981104164E-2</v>
      </c>
      <c r="AA7" s="4">
        <f t="shared" si="7"/>
        <v>47.9</v>
      </c>
      <c r="AB7" s="4">
        <f t="shared" si="8"/>
        <v>0</v>
      </c>
      <c r="AC7" s="4">
        <f t="shared" si="9"/>
        <v>3.4196242171189981</v>
      </c>
      <c r="AD7" s="4">
        <f t="shared" si="17"/>
        <v>3.5053581981104164E-2</v>
      </c>
      <c r="AE7" s="4">
        <f t="shared" si="10"/>
        <v>12.600000000000001</v>
      </c>
      <c r="AF7" s="4">
        <f t="shared" si="11"/>
        <v>0.17095761292490488</v>
      </c>
      <c r="AG7" s="4">
        <f t="shared" si="12"/>
        <v>1.198</v>
      </c>
      <c r="AH7" s="4">
        <f t="shared" si="13"/>
        <v>4.2365868248579353E-2</v>
      </c>
      <c r="AI7" s="4">
        <f t="shared" si="14"/>
        <v>1.54</v>
      </c>
      <c r="AJ7" s="4">
        <f t="shared" si="15"/>
        <v>0</v>
      </c>
      <c r="AK7" s="4">
        <v>1</v>
      </c>
    </row>
    <row r="8" spans="1:37" x14ac:dyDescent="0.2">
      <c r="A8" s="4">
        <v>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1</v>
      </c>
      <c r="P8" s="4">
        <v>0</v>
      </c>
      <c r="Q8" s="4">
        <v>0</v>
      </c>
      <c r="R8" s="4">
        <v>0</v>
      </c>
      <c r="S8" s="4">
        <f t="shared" si="0"/>
        <v>105.3</v>
      </c>
      <c r="T8" s="4">
        <f t="shared" si="1"/>
        <v>0</v>
      </c>
      <c r="U8" s="4">
        <f t="shared" si="2"/>
        <v>60.5</v>
      </c>
      <c r="V8" s="4">
        <f t="shared" si="3"/>
        <v>0</v>
      </c>
      <c r="W8" s="4">
        <f t="shared" si="4"/>
        <v>0</v>
      </c>
      <c r="X8" s="4">
        <f t="shared" si="5"/>
        <v>1.7404958677685949</v>
      </c>
      <c r="Y8" s="4">
        <f t="shared" si="6"/>
        <v>157.30000000000001</v>
      </c>
      <c r="Z8" s="4">
        <f t="shared" si="16"/>
        <v>0</v>
      </c>
      <c r="AA8" s="4">
        <f t="shared" si="7"/>
        <v>47.9</v>
      </c>
      <c r="AB8" s="4">
        <f t="shared" si="8"/>
        <v>0</v>
      </c>
      <c r="AC8" s="4">
        <f t="shared" si="9"/>
        <v>3.2839248434238</v>
      </c>
      <c r="AD8" s="4">
        <f t="shared" si="17"/>
        <v>0</v>
      </c>
      <c r="AE8" s="4">
        <f t="shared" si="10"/>
        <v>10</v>
      </c>
      <c r="AF8" s="4">
        <f t="shared" si="11"/>
        <v>0</v>
      </c>
      <c r="AG8" s="4">
        <f t="shared" si="12"/>
        <v>1.2</v>
      </c>
      <c r="AH8" s="4">
        <f t="shared" si="13"/>
        <v>0</v>
      </c>
      <c r="AI8" s="4">
        <f t="shared" si="14"/>
        <v>1.54</v>
      </c>
      <c r="AJ8" s="4">
        <f t="shared" si="15"/>
        <v>0</v>
      </c>
      <c r="AK8" s="4">
        <v>1</v>
      </c>
    </row>
    <row r="9" spans="1:37" x14ac:dyDescent="0.2">
      <c r="A9" s="4">
        <v>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0.5</v>
      </c>
      <c r="H9" s="4">
        <v>0.5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1</v>
      </c>
      <c r="P9" s="4">
        <v>0</v>
      </c>
      <c r="Q9" s="4">
        <v>0</v>
      </c>
      <c r="R9" s="4">
        <v>0</v>
      </c>
      <c r="S9" s="4">
        <f t="shared" si="0"/>
        <v>104.3</v>
      </c>
      <c r="T9" s="4">
        <f t="shared" si="1"/>
        <v>9.5877277085330559E-3</v>
      </c>
      <c r="U9" s="4">
        <f t="shared" si="2"/>
        <v>60.5</v>
      </c>
      <c r="V9" s="4">
        <f t="shared" si="3"/>
        <v>0</v>
      </c>
      <c r="W9" s="4">
        <f t="shared" si="4"/>
        <v>9.5877277085330559E-3</v>
      </c>
      <c r="X9" s="4">
        <f t="shared" si="5"/>
        <v>1.7239669421487602</v>
      </c>
      <c r="Y9" s="4">
        <f t="shared" si="6"/>
        <v>154.65</v>
      </c>
      <c r="Z9" s="4">
        <f t="shared" si="16"/>
        <v>1.7135467183963859E-2</v>
      </c>
      <c r="AA9" s="4">
        <f t="shared" si="7"/>
        <v>47.9</v>
      </c>
      <c r="AB9" s="4">
        <f t="shared" si="8"/>
        <v>0</v>
      </c>
      <c r="AC9" s="4">
        <f t="shared" si="9"/>
        <v>3.2286012526096037</v>
      </c>
      <c r="AD9" s="4">
        <f t="shared" si="17"/>
        <v>1.7135467183963859E-2</v>
      </c>
      <c r="AE9" s="4">
        <f t="shared" si="10"/>
        <v>9.5</v>
      </c>
      <c r="AF9" s="4">
        <f t="shared" si="11"/>
        <v>5.2631578947368418E-2</v>
      </c>
      <c r="AG9" s="4">
        <f t="shared" si="12"/>
        <v>1.2</v>
      </c>
      <c r="AH9" s="4">
        <f t="shared" si="13"/>
        <v>0</v>
      </c>
      <c r="AI9" s="4">
        <f t="shared" si="14"/>
        <v>1.54</v>
      </c>
      <c r="AJ9" s="4">
        <f t="shared" si="15"/>
        <v>0</v>
      </c>
      <c r="AK9" s="4">
        <v>1</v>
      </c>
    </row>
    <row r="10" spans="1:37" x14ac:dyDescent="0.2">
      <c r="A10" s="4">
        <v>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1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1</v>
      </c>
      <c r="P10" s="4">
        <v>0</v>
      </c>
      <c r="Q10" s="4">
        <v>0</v>
      </c>
      <c r="R10" s="4">
        <v>0</v>
      </c>
      <c r="S10" s="4">
        <f t="shared" si="0"/>
        <v>103.3</v>
      </c>
      <c r="T10" s="4">
        <f t="shared" si="1"/>
        <v>0</v>
      </c>
      <c r="U10" s="4">
        <f t="shared" si="2"/>
        <v>60.5</v>
      </c>
      <c r="V10" s="4">
        <f t="shared" si="3"/>
        <v>0</v>
      </c>
      <c r="W10" s="4">
        <f t="shared" si="4"/>
        <v>0</v>
      </c>
      <c r="X10" s="4">
        <f t="shared" si="5"/>
        <v>1.7074380165289256</v>
      </c>
      <c r="Y10" s="4">
        <f t="shared" si="6"/>
        <v>152</v>
      </c>
      <c r="Z10" s="4">
        <f t="shared" si="16"/>
        <v>0</v>
      </c>
      <c r="AA10" s="4">
        <f t="shared" si="7"/>
        <v>47.9</v>
      </c>
      <c r="AB10" s="4">
        <f t="shared" si="8"/>
        <v>0</v>
      </c>
      <c r="AC10" s="4">
        <f t="shared" si="9"/>
        <v>3.173277661795407</v>
      </c>
      <c r="AD10" s="4">
        <f t="shared" si="17"/>
        <v>0</v>
      </c>
      <c r="AE10" s="4">
        <f t="shared" si="10"/>
        <v>9</v>
      </c>
      <c r="AF10" s="4">
        <f t="shared" si="11"/>
        <v>0</v>
      </c>
      <c r="AG10" s="4">
        <f t="shared" si="12"/>
        <v>1.2</v>
      </c>
      <c r="AH10" s="4">
        <f t="shared" si="13"/>
        <v>0</v>
      </c>
      <c r="AI10" s="4">
        <f t="shared" si="14"/>
        <v>1.54</v>
      </c>
      <c r="AJ10" s="4">
        <f t="shared" si="15"/>
        <v>0</v>
      </c>
      <c r="AK10" s="4">
        <v>1</v>
      </c>
    </row>
    <row r="11" spans="1:37" x14ac:dyDescent="0.2">
      <c r="A11" s="4">
        <v>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0.25</v>
      </c>
      <c r="P11" s="4">
        <v>0.25</v>
      </c>
      <c r="Q11" s="4">
        <v>0.25</v>
      </c>
      <c r="R11" s="4">
        <v>0.25</v>
      </c>
      <c r="S11" s="4">
        <f t="shared" si="0"/>
        <v>105.3</v>
      </c>
      <c r="T11" s="4">
        <f t="shared" si="1"/>
        <v>0</v>
      </c>
      <c r="U11" s="4">
        <f t="shared" si="2"/>
        <v>68.125</v>
      </c>
      <c r="V11" s="4">
        <f t="shared" si="3"/>
        <v>6.6537483906307329E-2</v>
      </c>
      <c r="W11" s="4">
        <f t="shared" si="4"/>
        <v>6.6537483906307329E-2</v>
      </c>
      <c r="X11" s="4">
        <f t="shared" si="5"/>
        <v>1.5456880733944953</v>
      </c>
      <c r="Y11" s="4">
        <f t="shared" si="6"/>
        <v>157.30000000000001</v>
      </c>
      <c r="Z11" s="4">
        <f t="shared" si="16"/>
        <v>0</v>
      </c>
      <c r="AA11" s="4">
        <f t="shared" si="7"/>
        <v>108.89999999999999</v>
      </c>
      <c r="AB11" s="4">
        <f t="shared" si="8"/>
        <v>0.43344704696418507</v>
      </c>
      <c r="AC11" s="4">
        <f t="shared" si="9"/>
        <v>1.4444444444444446</v>
      </c>
      <c r="AD11" s="4">
        <f t="shared" si="17"/>
        <v>0.43344704696418507</v>
      </c>
      <c r="AE11" s="4">
        <f t="shared" si="10"/>
        <v>10</v>
      </c>
      <c r="AF11" s="4">
        <f t="shared" si="11"/>
        <v>0</v>
      </c>
      <c r="AG11" s="4">
        <f t="shared" si="12"/>
        <v>1.2</v>
      </c>
      <c r="AH11" s="4">
        <f t="shared" si="13"/>
        <v>0</v>
      </c>
      <c r="AI11" s="4">
        <f t="shared" si="14"/>
        <v>1.5325</v>
      </c>
      <c r="AJ11" s="4">
        <f t="shared" si="15"/>
        <v>0.1719864605951606</v>
      </c>
      <c r="AK11" s="4">
        <v>1</v>
      </c>
    </row>
    <row r="12" spans="1:37" x14ac:dyDescent="0.2">
      <c r="A12" s="4">
        <v>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0.5</v>
      </c>
      <c r="H12" s="4">
        <v>0.5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0.25</v>
      </c>
      <c r="P12" s="4">
        <v>0.25</v>
      </c>
      <c r="Q12" s="4">
        <v>0.25</v>
      </c>
      <c r="R12" s="4">
        <v>0.25</v>
      </c>
      <c r="S12" s="4">
        <f t="shared" si="0"/>
        <v>104.3</v>
      </c>
      <c r="T12" s="4">
        <f t="shared" si="1"/>
        <v>9.5877277085330559E-3</v>
      </c>
      <c r="U12" s="4">
        <f t="shared" si="2"/>
        <v>68.125</v>
      </c>
      <c r="V12" s="4">
        <f t="shared" si="3"/>
        <v>6.6537483906307329E-2</v>
      </c>
      <c r="W12" s="4">
        <f t="shared" si="4"/>
        <v>6.7224707416210297E-2</v>
      </c>
      <c r="X12" s="4">
        <f t="shared" si="5"/>
        <v>1.5310091743119265</v>
      </c>
      <c r="Y12" s="4">
        <f t="shared" si="6"/>
        <v>154.65</v>
      </c>
      <c r="Z12" s="4">
        <f t="shared" si="16"/>
        <v>1.7135467183963859E-2</v>
      </c>
      <c r="AA12" s="4">
        <f t="shared" si="7"/>
        <v>108.89999999999999</v>
      </c>
      <c r="AB12" s="4">
        <f t="shared" si="8"/>
        <v>0.43344704696418507</v>
      </c>
      <c r="AC12" s="4">
        <f t="shared" si="9"/>
        <v>1.4201101928374658</v>
      </c>
      <c r="AD12" s="4">
        <f t="shared" si="17"/>
        <v>0.43378562304159551</v>
      </c>
      <c r="AE12" s="4">
        <f t="shared" si="10"/>
        <v>9.5</v>
      </c>
      <c r="AF12" s="4">
        <f t="shared" si="11"/>
        <v>5.2631578947368418E-2</v>
      </c>
      <c r="AG12" s="4">
        <f t="shared" si="12"/>
        <v>1.2</v>
      </c>
      <c r="AH12" s="4">
        <f t="shared" si="13"/>
        <v>0</v>
      </c>
      <c r="AI12" s="4">
        <f t="shared" si="14"/>
        <v>1.5325</v>
      </c>
      <c r="AJ12" s="4">
        <f t="shared" si="15"/>
        <v>0.1719864605951606</v>
      </c>
      <c r="AK12" s="4">
        <v>1</v>
      </c>
    </row>
    <row r="13" spans="1:37" x14ac:dyDescent="0.2">
      <c r="A13" s="4">
        <v>0.5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0.5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1</v>
      </c>
      <c r="P13" s="4">
        <v>0</v>
      </c>
      <c r="Q13" s="4">
        <v>0</v>
      </c>
      <c r="R13" s="4">
        <v>0</v>
      </c>
      <c r="S13" s="4">
        <f t="shared" si="0"/>
        <v>103.6</v>
      </c>
      <c r="T13" s="4">
        <f t="shared" si="1"/>
        <v>1.6409266409266432E-2</v>
      </c>
      <c r="U13" s="4">
        <f t="shared" si="2"/>
        <v>60.5</v>
      </c>
      <c r="V13" s="4">
        <f t="shared" si="3"/>
        <v>0</v>
      </c>
      <c r="W13" s="4">
        <f t="shared" si="4"/>
        <v>1.6409266409266432E-2</v>
      </c>
      <c r="X13" s="4">
        <f t="shared" si="5"/>
        <v>1.7123966942148758</v>
      </c>
      <c r="Y13" s="4">
        <f t="shared" si="6"/>
        <v>123.10000000000001</v>
      </c>
      <c r="Z13" s="4">
        <f t="shared" si="16"/>
        <v>0.27782290820471167</v>
      </c>
      <c r="AA13" s="4">
        <f t="shared" si="7"/>
        <v>47.9</v>
      </c>
      <c r="AB13" s="4">
        <f t="shared" si="8"/>
        <v>0</v>
      </c>
      <c r="AC13" s="4">
        <f t="shared" si="9"/>
        <v>2.5699373695198333</v>
      </c>
      <c r="AD13" s="4">
        <f t="shared" si="17"/>
        <v>0.27782290820471167</v>
      </c>
      <c r="AE13" s="4">
        <f t="shared" si="10"/>
        <v>6.5</v>
      </c>
      <c r="AF13" s="4">
        <f t="shared" si="11"/>
        <v>0.53846153846153855</v>
      </c>
      <c r="AG13" s="4">
        <f t="shared" si="12"/>
        <v>1.21</v>
      </c>
      <c r="AH13" s="4">
        <f t="shared" si="13"/>
        <v>8.2644628099173278E-3</v>
      </c>
      <c r="AI13" s="4">
        <f t="shared" si="14"/>
        <v>1.54</v>
      </c>
      <c r="AJ13" s="4">
        <f t="shared" si="15"/>
        <v>0</v>
      </c>
      <c r="AK13" s="4">
        <v>1</v>
      </c>
    </row>
    <row r="14" spans="1:37" x14ac:dyDescent="0.2">
      <c r="A14" s="4">
        <v>0.2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0.2</v>
      </c>
      <c r="H14" s="4">
        <v>0.2</v>
      </c>
      <c r="I14" s="4">
        <v>0</v>
      </c>
      <c r="J14" s="4">
        <v>0.2</v>
      </c>
      <c r="K14" s="4">
        <v>0.2</v>
      </c>
      <c r="L14" s="4">
        <v>0</v>
      </c>
      <c r="M14" s="4">
        <v>0</v>
      </c>
      <c r="N14" s="4">
        <v>0</v>
      </c>
      <c r="O14" s="4">
        <v>1</v>
      </c>
      <c r="P14" s="4">
        <v>0</v>
      </c>
      <c r="Q14" s="4">
        <v>0</v>
      </c>
      <c r="R14" s="4">
        <v>0</v>
      </c>
      <c r="S14" s="4">
        <f t="shared" si="0"/>
        <v>102.94000000000001</v>
      </c>
      <c r="T14" s="4">
        <f t="shared" si="1"/>
        <v>1.2969356338277546E-2</v>
      </c>
      <c r="U14" s="4">
        <f t="shared" si="2"/>
        <v>60.5</v>
      </c>
      <c r="V14" s="4">
        <f t="shared" si="3"/>
        <v>0</v>
      </c>
      <c r="W14" s="4">
        <f t="shared" si="4"/>
        <v>1.2969356338277546E-2</v>
      </c>
      <c r="X14" s="4">
        <f t="shared" si="5"/>
        <v>1.7014876033057853</v>
      </c>
      <c r="Y14" s="4">
        <f t="shared" si="6"/>
        <v>145.12</v>
      </c>
      <c r="Z14" s="4">
        <f t="shared" si="16"/>
        <v>0.19610944503959474</v>
      </c>
      <c r="AA14" s="4">
        <f t="shared" si="7"/>
        <v>47.9</v>
      </c>
      <c r="AB14" s="4">
        <f t="shared" si="8"/>
        <v>0</v>
      </c>
      <c r="AC14" s="4">
        <f t="shared" si="9"/>
        <v>3.0296450939457205</v>
      </c>
      <c r="AD14" s="4">
        <f t="shared" si="17"/>
        <v>0.19610944503959474</v>
      </c>
      <c r="AE14" s="4">
        <f t="shared" si="10"/>
        <v>9.4</v>
      </c>
      <c r="AF14" s="4">
        <f t="shared" si="11"/>
        <v>0.37218841881991277</v>
      </c>
      <c r="AG14" s="4">
        <f t="shared" si="12"/>
        <v>1.218</v>
      </c>
      <c r="AH14" s="4">
        <f t="shared" si="13"/>
        <v>1.3136288998357981E-2</v>
      </c>
      <c r="AI14" s="4">
        <f t="shared" si="14"/>
        <v>1.54</v>
      </c>
      <c r="AJ14" s="4">
        <f t="shared" si="15"/>
        <v>0</v>
      </c>
      <c r="AK14" s="4">
        <v>1</v>
      </c>
    </row>
    <row r="15" spans="1:37" x14ac:dyDescent="0.2">
      <c r="A15" s="4">
        <v>0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1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1</v>
      </c>
      <c r="P15" s="4">
        <v>0</v>
      </c>
      <c r="Q15" s="4">
        <v>0</v>
      </c>
      <c r="R15" s="4">
        <v>0</v>
      </c>
      <c r="S15" s="4">
        <f t="shared" si="0"/>
        <v>104</v>
      </c>
      <c r="T15" s="4">
        <f t="shared" si="1"/>
        <v>0</v>
      </c>
      <c r="U15" s="4">
        <f t="shared" si="2"/>
        <v>60.5</v>
      </c>
      <c r="V15" s="4">
        <f t="shared" si="3"/>
        <v>0</v>
      </c>
      <c r="W15" s="4">
        <f t="shared" si="4"/>
        <v>0</v>
      </c>
      <c r="X15" s="4">
        <f t="shared" si="5"/>
        <v>1.71900826446281</v>
      </c>
      <c r="Y15" s="4">
        <f t="shared" si="6"/>
        <v>158.9</v>
      </c>
      <c r="Z15" s="4">
        <f t="shared" si="16"/>
        <v>0</v>
      </c>
      <c r="AA15" s="4">
        <f t="shared" si="7"/>
        <v>47.9</v>
      </c>
      <c r="AB15" s="4">
        <f t="shared" si="8"/>
        <v>0</v>
      </c>
      <c r="AC15" s="4">
        <f t="shared" si="9"/>
        <v>3.3173277661795408</v>
      </c>
      <c r="AD15" s="4">
        <f t="shared" si="17"/>
        <v>0</v>
      </c>
      <c r="AE15" s="4">
        <f t="shared" si="10"/>
        <v>11</v>
      </c>
      <c r="AF15" s="4">
        <f t="shared" si="11"/>
        <v>0</v>
      </c>
      <c r="AG15" s="4">
        <f t="shared" si="12"/>
        <v>1.22</v>
      </c>
      <c r="AH15" s="4">
        <f t="shared" si="13"/>
        <v>0</v>
      </c>
      <c r="AI15" s="4">
        <f t="shared" si="14"/>
        <v>1.54</v>
      </c>
      <c r="AJ15" s="4">
        <f t="shared" si="15"/>
        <v>0</v>
      </c>
      <c r="AK15" s="4">
        <v>1</v>
      </c>
    </row>
    <row r="16" spans="1:37" x14ac:dyDescent="0.2">
      <c r="A16" s="4">
        <v>1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1</v>
      </c>
      <c r="P16" s="4">
        <v>0</v>
      </c>
      <c r="Q16" s="4">
        <v>0</v>
      </c>
      <c r="R16" s="4">
        <v>0</v>
      </c>
      <c r="S16" s="4">
        <f t="shared" si="0"/>
        <v>101.9</v>
      </c>
      <c r="T16" s="4">
        <f t="shared" si="1"/>
        <v>0</v>
      </c>
      <c r="U16" s="4">
        <f t="shared" si="2"/>
        <v>60.5</v>
      </c>
      <c r="V16" s="4">
        <f t="shared" si="3"/>
        <v>0</v>
      </c>
      <c r="W16" s="4">
        <f t="shared" si="4"/>
        <v>0</v>
      </c>
      <c r="X16" s="4">
        <f t="shared" si="5"/>
        <v>1.684297520661157</v>
      </c>
      <c r="Y16" s="4">
        <f t="shared" si="6"/>
        <v>88.9</v>
      </c>
      <c r="Z16" s="4">
        <f t="shared" si="16"/>
        <v>0</v>
      </c>
      <c r="AA16" s="4">
        <f t="shared" si="7"/>
        <v>47.9</v>
      </c>
      <c r="AB16" s="4">
        <f t="shared" si="8"/>
        <v>0</v>
      </c>
      <c r="AC16" s="4">
        <f t="shared" si="9"/>
        <v>1.8559498956158667</v>
      </c>
      <c r="AD16" s="4">
        <f t="shared" si="17"/>
        <v>0</v>
      </c>
      <c r="AE16" s="4">
        <f t="shared" si="10"/>
        <v>3</v>
      </c>
      <c r="AF16" s="4">
        <f t="shared" si="11"/>
        <v>0</v>
      </c>
      <c r="AG16" s="4">
        <f t="shared" si="12"/>
        <v>1.22</v>
      </c>
      <c r="AH16" s="4">
        <f t="shared" si="13"/>
        <v>0</v>
      </c>
      <c r="AI16" s="4">
        <f t="shared" si="14"/>
        <v>1.54</v>
      </c>
      <c r="AJ16" s="4">
        <f t="shared" si="15"/>
        <v>0</v>
      </c>
      <c r="AK16" s="4">
        <v>1</v>
      </c>
    </row>
    <row r="17" spans="1:37" x14ac:dyDescent="0.2">
      <c r="A17" s="4">
        <v>0.25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0.25</v>
      </c>
      <c r="I17" s="4">
        <v>0</v>
      </c>
      <c r="J17" s="4">
        <v>0.25</v>
      </c>
      <c r="K17" s="4">
        <v>0.25</v>
      </c>
      <c r="L17" s="4">
        <v>0</v>
      </c>
      <c r="M17" s="4">
        <v>0</v>
      </c>
      <c r="N17" s="4">
        <v>0</v>
      </c>
      <c r="O17" s="4">
        <v>1</v>
      </c>
      <c r="P17" s="4">
        <v>0</v>
      </c>
      <c r="Q17" s="4">
        <v>0</v>
      </c>
      <c r="R17" s="4">
        <v>0</v>
      </c>
      <c r="S17" s="4">
        <f t="shared" si="0"/>
        <v>102.85</v>
      </c>
      <c r="T17" s="4">
        <f t="shared" si="1"/>
        <v>1.438035921997954E-2</v>
      </c>
      <c r="U17" s="4">
        <f t="shared" si="2"/>
        <v>60.5</v>
      </c>
      <c r="V17" s="4">
        <f t="shared" si="3"/>
        <v>0</v>
      </c>
      <c r="W17" s="4">
        <f t="shared" si="4"/>
        <v>1.438035921997954E-2</v>
      </c>
      <c r="X17" s="4">
        <f t="shared" si="5"/>
        <v>1.7</v>
      </c>
      <c r="Y17" s="4">
        <f t="shared" si="6"/>
        <v>143.4</v>
      </c>
      <c r="Z17" s="4">
        <f t="shared" si="16"/>
        <v>0.22025998174557024</v>
      </c>
      <c r="AA17" s="4">
        <f t="shared" si="7"/>
        <v>47.9</v>
      </c>
      <c r="AB17" s="4">
        <f t="shared" si="8"/>
        <v>0</v>
      </c>
      <c r="AC17" s="4">
        <f t="shared" si="9"/>
        <v>2.9937369519832986</v>
      </c>
      <c r="AD17" s="4">
        <f t="shared" si="17"/>
        <v>0.22025998174557024</v>
      </c>
      <c r="AE17" s="4">
        <f t="shared" si="10"/>
        <v>9.5</v>
      </c>
      <c r="AF17" s="4">
        <f t="shared" si="11"/>
        <v>0.41106577241613967</v>
      </c>
      <c r="AG17" s="4">
        <f t="shared" si="12"/>
        <v>1.2224999999999999</v>
      </c>
      <c r="AH17" s="4">
        <f t="shared" si="13"/>
        <v>1.2098322664825382E-2</v>
      </c>
      <c r="AI17" s="4">
        <f t="shared" si="14"/>
        <v>1.54</v>
      </c>
      <c r="AJ17" s="4">
        <f t="shared" si="15"/>
        <v>0</v>
      </c>
      <c r="AK17" s="4">
        <v>1</v>
      </c>
    </row>
    <row r="18" spans="1:37" x14ac:dyDescent="0.2">
      <c r="A18" s="4">
        <v>0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</v>
      </c>
      <c r="K18" s="4">
        <v>0</v>
      </c>
      <c r="L18" s="4">
        <v>0</v>
      </c>
      <c r="M18" s="4">
        <v>0</v>
      </c>
      <c r="N18" s="4">
        <v>0</v>
      </c>
      <c r="O18" s="4">
        <v>1</v>
      </c>
      <c r="P18" s="4">
        <v>0</v>
      </c>
      <c r="Q18" s="4">
        <v>0</v>
      </c>
      <c r="R18" s="4">
        <v>0</v>
      </c>
      <c r="S18" s="4">
        <f t="shared" si="0"/>
        <v>102.7</v>
      </c>
      <c r="T18" s="4">
        <f t="shared" si="1"/>
        <v>0</v>
      </c>
      <c r="U18" s="4">
        <f t="shared" si="2"/>
        <v>60.5</v>
      </c>
      <c r="V18" s="4">
        <f t="shared" si="3"/>
        <v>0</v>
      </c>
      <c r="W18" s="4">
        <f t="shared" si="4"/>
        <v>0</v>
      </c>
      <c r="X18" s="4">
        <f t="shared" si="5"/>
        <v>1.6975206611570248</v>
      </c>
      <c r="Y18" s="4">
        <f t="shared" si="6"/>
        <v>162.5</v>
      </c>
      <c r="Z18" s="4">
        <f t="shared" si="16"/>
        <v>0</v>
      </c>
      <c r="AA18" s="4">
        <f t="shared" si="7"/>
        <v>47.9</v>
      </c>
      <c r="AB18" s="4">
        <f t="shared" si="8"/>
        <v>0</v>
      </c>
      <c r="AC18" s="4">
        <f t="shared" si="9"/>
        <v>3.3924843423799582</v>
      </c>
      <c r="AD18" s="4">
        <f t="shared" si="17"/>
        <v>0</v>
      </c>
      <c r="AE18" s="4">
        <f t="shared" si="10"/>
        <v>12</v>
      </c>
      <c r="AF18" s="4">
        <f t="shared" si="11"/>
        <v>0</v>
      </c>
      <c r="AG18" s="4">
        <f t="shared" si="12"/>
        <v>1.23</v>
      </c>
      <c r="AH18" s="4">
        <f t="shared" si="13"/>
        <v>0</v>
      </c>
      <c r="AI18" s="4">
        <f t="shared" si="14"/>
        <v>1.54</v>
      </c>
      <c r="AJ18" s="4">
        <f t="shared" si="15"/>
        <v>0</v>
      </c>
      <c r="AK18" s="4">
        <v>1</v>
      </c>
    </row>
    <row r="19" spans="1:37" x14ac:dyDescent="0.2">
      <c r="A19" s="4">
        <v>0.5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0.5</v>
      </c>
      <c r="L19" s="4">
        <v>0</v>
      </c>
      <c r="M19" s="4">
        <v>0</v>
      </c>
      <c r="N19" s="4">
        <v>0</v>
      </c>
      <c r="O19" s="4">
        <v>1</v>
      </c>
      <c r="P19" s="4">
        <v>0</v>
      </c>
      <c r="Q19" s="4">
        <v>0</v>
      </c>
      <c r="R19" s="4">
        <v>0</v>
      </c>
      <c r="S19" s="4">
        <f t="shared" si="0"/>
        <v>101.7</v>
      </c>
      <c r="T19" s="4">
        <f t="shared" si="1"/>
        <v>1.9665683382497634E-3</v>
      </c>
      <c r="U19" s="4">
        <f t="shared" si="2"/>
        <v>60.5</v>
      </c>
      <c r="V19" s="4">
        <f t="shared" si="3"/>
        <v>0</v>
      </c>
      <c r="W19" s="4">
        <f t="shared" si="4"/>
        <v>1.9665683382497634E-3</v>
      </c>
      <c r="X19" s="4">
        <f t="shared" si="5"/>
        <v>1.6809917355371902</v>
      </c>
      <c r="Y19" s="4">
        <f t="shared" si="6"/>
        <v>126.9</v>
      </c>
      <c r="Z19" s="4">
        <f t="shared" si="16"/>
        <v>0.29944838455476752</v>
      </c>
      <c r="AA19" s="4">
        <f t="shared" si="7"/>
        <v>47.9</v>
      </c>
      <c r="AB19" s="4">
        <f t="shared" si="8"/>
        <v>0</v>
      </c>
      <c r="AC19" s="4">
        <f t="shared" si="9"/>
        <v>2.6492693110647183</v>
      </c>
      <c r="AD19" s="4">
        <f t="shared" si="17"/>
        <v>0.29944838455476752</v>
      </c>
      <c r="AE19" s="4">
        <f t="shared" si="10"/>
        <v>8</v>
      </c>
      <c r="AF19" s="4">
        <f t="shared" si="11"/>
        <v>0.625</v>
      </c>
      <c r="AG19" s="4">
        <f t="shared" si="12"/>
        <v>1.23</v>
      </c>
      <c r="AH19" s="4">
        <f t="shared" si="13"/>
        <v>8.1300813008129968E-3</v>
      </c>
      <c r="AI19" s="4">
        <f t="shared" si="14"/>
        <v>1.54</v>
      </c>
      <c r="AJ19" s="4">
        <f t="shared" si="15"/>
        <v>0</v>
      </c>
      <c r="AK19" s="4">
        <v>1</v>
      </c>
    </row>
    <row r="20" spans="1:37" x14ac:dyDescent="0.2">
      <c r="A20" s="4">
        <f>1/3</f>
        <v>0.33333333333333331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f>1/3</f>
        <v>0.33333333333333331</v>
      </c>
      <c r="K20" s="4">
        <f>1/3</f>
        <v>0.33333333333333331</v>
      </c>
      <c r="L20" s="4">
        <v>0</v>
      </c>
      <c r="M20" s="4">
        <v>0</v>
      </c>
      <c r="N20" s="4">
        <v>0</v>
      </c>
      <c r="O20" s="4">
        <v>1</v>
      </c>
      <c r="P20" s="4">
        <v>0</v>
      </c>
      <c r="Q20" s="4">
        <v>0</v>
      </c>
      <c r="R20" s="4">
        <v>0</v>
      </c>
      <c r="S20" s="4">
        <f t="shared" si="0"/>
        <v>102.03333333333333</v>
      </c>
      <c r="T20" s="4">
        <f t="shared" si="1"/>
        <v>4.8894575456046576E-3</v>
      </c>
      <c r="U20" s="4">
        <f t="shared" si="2"/>
        <v>60.5</v>
      </c>
      <c r="V20" s="4">
        <f t="shared" si="3"/>
        <v>0</v>
      </c>
      <c r="W20" s="4">
        <f t="shared" si="4"/>
        <v>4.8894575456046576E-3</v>
      </c>
      <c r="X20" s="4">
        <f t="shared" si="5"/>
        <v>1.6865013774104682</v>
      </c>
      <c r="Y20" s="4">
        <f t="shared" si="6"/>
        <v>138.76666666666665</v>
      </c>
      <c r="Z20" s="4">
        <f t="shared" si="16"/>
        <v>0.25420130876344427</v>
      </c>
      <c r="AA20" s="4">
        <f t="shared" si="7"/>
        <v>47.9</v>
      </c>
      <c r="AB20" s="4">
        <f t="shared" si="8"/>
        <v>0</v>
      </c>
      <c r="AC20" s="4">
        <f t="shared" si="9"/>
        <v>2.8970076548364645</v>
      </c>
      <c r="AD20" s="4">
        <f t="shared" si="17"/>
        <v>0.25420130876344427</v>
      </c>
      <c r="AE20" s="4">
        <f t="shared" si="10"/>
        <v>9.3333333333333321</v>
      </c>
      <c r="AF20" s="4">
        <f t="shared" si="11"/>
        <v>0.48181205582971587</v>
      </c>
      <c r="AG20" s="4">
        <f t="shared" si="12"/>
        <v>1.23</v>
      </c>
      <c r="AH20" s="4">
        <f t="shared" si="13"/>
        <v>6.6381835847782508E-3</v>
      </c>
      <c r="AI20" s="4">
        <f t="shared" si="14"/>
        <v>1.54</v>
      </c>
      <c r="AJ20" s="4">
        <f t="shared" si="15"/>
        <v>0</v>
      </c>
      <c r="AK20" s="4">
        <v>1</v>
      </c>
    </row>
    <row r="21" spans="1:37" x14ac:dyDescent="0.2">
      <c r="A21" s="4">
        <v>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1</v>
      </c>
      <c r="M21" s="4">
        <v>0</v>
      </c>
      <c r="N21" s="4">
        <v>0</v>
      </c>
      <c r="O21" s="4">
        <v>1</v>
      </c>
      <c r="P21" s="4">
        <v>0</v>
      </c>
      <c r="Q21" s="4">
        <v>0</v>
      </c>
      <c r="R21" s="4">
        <v>0</v>
      </c>
      <c r="S21" s="4">
        <f t="shared" si="0"/>
        <v>100.2</v>
      </c>
      <c r="T21" s="4">
        <f t="shared" si="1"/>
        <v>0</v>
      </c>
      <c r="U21" s="4">
        <f t="shared" si="2"/>
        <v>60.5</v>
      </c>
      <c r="V21" s="4">
        <f t="shared" si="3"/>
        <v>0</v>
      </c>
      <c r="W21" s="4">
        <f t="shared" si="4"/>
        <v>0</v>
      </c>
      <c r="X21" s="4">
        <f t="shared" si="5"/>
        <v>1.656198347107438</v>
      </c>
      <c r="Y21" s="4">
        <f t="shared" si="6"/>
        <v>167.3</v>
      </c>
      <c r="Z21" s="4">
        <f t="shared" si="16"/>
        <v>0</v>
      </c>
      <c r="AA21" s="4">
        <f t="shared" si="7"/>
        <v>47.9</v>
      </c>
      <c r="AB21" s="4">
        <f t="shared" si="8"/>
        <v>0</v>
      </c>
      <c r="AC21" s="4">
        <f t="shared" si="9"/>
        <v>3.4926931106471821</v>
      </c>
      <c r="AD21" s="4">
        <f t="shared" si="17"/>
        <v>0</v>
      </c>
      <c r="AE21" s="4">
        <f t="shared" si="10"/>
        <v>14</v>
      </c>
      <c r="AF21" s="4">
        <f t="shared" si="11"/>
        <v>0</v>
      </c>
      <c r="AG21" s="4">
        <f t="shared" si="12"/>
        <v>1.24</v>
      </c>
      <c r="AH21" s="4">
        <f t="shared" si="13"/>
        <v>0</v>
      </c>
      <c r="AI21" s="4">
        <f t="shared" si="14"/>
        <v>1.54</v>
      </c>
      <c r="AJ21" s="4">
        <f t="shared" si="15"/>
        <v>0</v>
      </c>
      <c r="AK21" s="4">
        <v>1</v>
      </c>
    </row>
    <row r="22" spans="1:37" x14ac:dyDescent="0.2">
      <c r="A22" s="4">
        <v>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</v>
      </c>
      <c r="L22" s="4">
        <v>0</v>
      </c>
      <c r="M22" s="4">
        <v>0</v>
      </c>
      <c r="N22" s="4">
        <v>0</v>
      </c>
      <c r="O22" s="4">
        <v>1</v>
      </c>
      <c r="P22" s="4">
        <v>0</v>
      </c>
      <c r="Q22" s="4">
        <v>0</v>
      </c>
      <c r="R22" s="4">
        <v>0</v>
      </c>
      <c r="S22" s="4">
        <f t="shared" si="0"/>
        <v>101.5</v>
      </c>
      <c r="T22" s="4">
        <f t="shared" si="1"/>
        <v>0</v>
      </c>
      <c r="U22" s="4">
        <f t="shared" si="2"/>
        <v>60.5</v>
      </c>
      <c r="V22" s="4">
        <f t="shared" si="3"/>
        <v>0</v>
      </c>
      <c r="W22" s="4">
        <f t="shared" si="4"/>
        <v>0</v>
      </c>
      <c r="X22" s="4">
        <f t="shared" si="5"/>
        <v>1.6776859504132231</v>
      </c>
      <c r="Y22" s="4">
        <f t="shared" si="6"/>
        <v>164.9</v>
      </c>
      <c r="Z22" s="4">
        <f t="shared" si="16"/>
        <v>0</v>
      </c>
      <c r="AA22" s="4">
        <f t="shared" si="7"/>
        <v>47.9</v>
      </c>
      <c r="AB22" s="4">
        <f t="shared" si="8"/>
        <v>0</v>
      </c>
      <c r="AC22" s="4">
        <f t="shared" si="9"/>
        <v>3.44258872651357</v>
      </c>
      <c r="AD22" s="4">
        <f t="shared" si="17"/>
        <v>0</v>
      </c>
      <c r="AE22" s="4">
        <f t="shared" si="10"/>
        <v>13</v>
      </c>
      <c r="AF22" s="4">
        <f t="shared" si="11"/>
        <v>0</v>
      </c>
      <c r="AG22" s="4">
        <f t="shared" si="12"/>
        <v>1.24</v>
      </c>
      <c r="AH22" s="4">
        <f t="shared" si="13"/>
        <v>0</v>
      </c>
      <c r="AI22" s="4">
        <f t="shared" si="14"/>
        <v>1.54</v>
      </c>
      <c r="AJ22" s="4">
        <f t="shared" si="15"/>
        <v>0</v>
      </c>
      <c r="AK22" s="4">
        <v>1</v>
      </c>
    </row>
    <row r="23" spans="1:37" x14ac:dyDescent="0.2">
      <c r="A23" s="4">
        <v>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0.5</v>
      </c>
      <c r="P23" s="4">
        <v>0.5</v>
      </c>
      <c r="Q23" s="4">
        <v>0</v>
      </c>
      <c r="R23" s="4">
        <v>0</v>
      </c>
      <c r="S23" s="4">
        <f t="shared" si="0"/>
        <v>105.3</v>
      </c>
      <c r="T23" s="4">
        <f t="shared" si="1"/>
        <v>0</v>
      </c>
      <c r="U23" s="4">
        <f t="shared" si="2"/>
        <v>66.25</v>
      </c>
      <c r="V23" s="4">
        <f t="shared" si="3"/>
        <v>8.679245283018866E-2</v>
      </c>
      <c r="W23" s="4">
        <f t="shared" si="4"/>
        <v>8.679245283018866E-2</v>
      </c>
      <c r="X23" s="4">
        <f t="shared" si="5"/>
        <v>1.5894339622641509</v>
      </c>
      <c r="Y23" s="4">
        <f t="shared" si="6"/>
        <v>157.30000000000001</v>
      </c>
      <c r="Z23" s="4">
        <f t="shared" si="16"/>
        <v>0</v>
      </c>
      <c r="AA23" s="4">
        <f t="shared" si="7"/>
        <v>69.45</v>
      </c>
      <c r="AB23" s="4">
        <f t="shared" si="8"/>
        <v>0.3102951763858891</v>
      </c>
      <c r="AC23" s="4">
        <f t="shared" si="9"/>
        <v>2.2649388048956083</v>
      </c>
      <c r="AD23" s="4">
        <f t="shared" si="17"/>
        <v>0.3102951763858891</v>
      </c>
      <c r="AE23" s="4">
        <f t="shared" si="10"/>
        <v>10</v>
      </c>
      <c r="AF23" s="4">
        <f t="shared" si="11"/>
        <v>0</v>
      </c>
      <c r="AG23" s="4">
        <f t="shared" si="12"/>
        <v>1.2</v>
      </c>
      <c r="AH23" s="4">
        <f t="shared" si="13"/>
        <v>0</v>
      </c>
      <c r="AI23" s="4">
        <f t="shared" si="14"/>
        <v>1.4350000000000001</v>
      </c>
      <c r="AJ23" s="4">
        <f t="shared" si="15"/>
        <v>7.3170731707317083E-2</v>
      </c>
      <c r="AK23" s="4">
        <v>1</v>
      </c>
    </row>
    <row r="24" spans="1:37" x14ac:dyDescent="0.2">
      <c r="A24" s="4">
        <v>0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0.5</v>
      </c>
      <c r="H24" s="4">
        <v>0.5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0.5</v>
      </c>
      <c r="P24" s="4">
        <v>0.5</v>
      </c>
      <c r="Q24" s="4">
        <v>0</v>
      </c>
      <c r="R24" s="4">
        <v>0</v>
      </c>
      <c r="S24" s="4">
        <f t="shared" si="0"/>
        <v>104.3</v>
      </c>
      <c r="T24" s="4">
        <f t="shared" si="1"/>
        <v>9.5877277085330559E-3</v>
      </c>
      <c r="U24" s="4">
        <f t="shared" si="2"/>
        <v>66.25</v>
      </c>
      <c r="V24" s="4">
        <f t="shared" si="3"/>
        <v>8.679245283018866E-2</v>
      </c>
      <c r="W24" s="4">
        <f t="shared" si="4"/>
        <v>8.7320412223566013E-2</v>
      </c>
      <c r="X24" s="4">
        <f t="shared" si="5"/>
        <v>1.5743396226415094</v>
      </c>
      <c r="Y24" s="4">
        <f t="shared" si="6"/>
        <v>154.65</v>
      </c>
      <c r="Z24" s="4">
        <f t="shared" si="16"/>
        <v>1.7135467183963859E-2</v>
      </c>
      <c r="AA24" s="4">
        <f t="shared" si="7"/>
        <v>69.45</v>
      </c>
      <c r="AB24" s="4">
        <f t="shared" si="8"/>
        <v>0.3102951763858891</v>
      </c>
      <c r="AC24" s="4">
        <f t="shared" si="9"/>
        <v>2.226781857451404</v>
      </c>
      <c r="AD24" s="4">
        <f t="shared" si="17"/>
        <v>0.31076795318044415</v>
      </c>
      <c r="AE24" s="4">
        <f t="shared" si="10"/>
        <v>9.5</v>
      </c>
      <c r="AF24" s="4">
        <f t="shared" si="11"/>
        <v>5.2631578947368418E-2</v>
      </c>
      <c r="AG24" s="4">
        <f t="shared" si="12"/>
        <v>1.2</v>
      </c>
      <c r="AH24" s="4">
        <f t="shared" si="13"/>
        <v>0</v>
      </c>
      <c r="AI24" s="4">
        <f t="shared" si="14"/>
        <v>1.4350000000000001</v>
      </c>
      <c r="AJ24" s="4">
        <f t="shared" si="15"/>
        <v>7.3170731707317083E-2</v>
      </c>
      <c r="AK24" s="4">
        <v>1</v>
      </c>
    </row>
    <row r="25" spans="1:37" x14ac:dyDescent="0.2">
      <c r="A25" s="4">
        <v>0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0.5</v>
      </c>
      <c r="H25" s="4">
        <v>0.5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f>1/3</f>
        <v>0.33333333333333331</v>
      </c>
      <c r="P25" s="4">
        <f>1/3</f>
        <v>0.33333333333333331</v>
      </c>
      <c r="Q25" s="4">
        <f>1/3</f>
        <v>0.33333333333333331</v>
      </c>
      <c r="R25" s="4">
        <v>0</v>
      </c>
      <c r="S25" s="4">
        <f t="shared" si="0"/>
        <v>104.3</v>
      </c>
      <c r="T25" s="4">
        <f t="shared" si="1"/>
        <v>9.5877277085330559E-3</v>
      </c>
      <c r="U25" s="4">
        <f t="shared" si="2"/>
        <v>67.833333333333329</v>
      </c>
      <c r="V25" s="4">
        <f t="shared" si="3"/>
        <v>7.6680523510207543E-2</v>
      </c>
      <c r="W25" s="4">
        <f t="shared" si="4"/>
        <v>7.7277598360795771E-2</v>
      </c>
      <c r="X25" s="4">
        <f t="shared" si="5"/>
        <v>1.5375921375921378</v>
      </c>
      <c r="Y25" s="4">
        <f t="shared" si="6"/>
        <v>154.65</v>
      </c>
      <c r="Z25" s="4">
        <f t="shared" si="16"/>
        <v>1.7135467183963859E-2</v>
      </c>
      <c r="AA25" s="4">
        <f t="shared" si="7"/>
        <v>105.63333333333333</v>
      </c>
      <c r="AB25" s="4">
        <f t="shared" si="8"/>
        <v>0.51225907461452158</v>
      </c>
      <c r="AC25" s="4">
        <f t="shared" si="9"/>
        <v>1.4640265067844747</v>
      </c>
      <c r="AD25" s="4">
        <f t="shared" si="17"/>
        <v>0.51254559188479876</v>
      </c>
      <c r="AE25" s="4">
        <f t="shared" si="10"/>
        <v>9.5</v>
      </c>
      <c r="AF25" s="4">
        <f t="shared" si="11"/>
        <v>5.2631578947368418E-2</v>
      </c>
      <c r="AG25" s="4">
        <f t="shared" si="12"/>
        <v>1.2</v>
      </c>
      <c r="AH25" s="4">
        <f t="shared" si="13"/>
        <v>0</v>
      </c>
      <c r="AI25" s="4">
        <f t="shared" si="14"/>
        <v>1.3900000000000001</v>
      </c>
      <c r="AJ25" s="4">
        <f t="shared" si="15"/>
        <v>7.6813512604541834E-2</v>
      </c>
      <c r="AK25" s="4">
        <v>1</v>
      </c>
    </row>
    <row r="26" spans="1:37" x14ac:dyDescent="0.2">
      <c r="A26" s="4">
        <v>0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1</v>
      </c>
      <c r="Q26" s="4">
        <v>0</v>
      </c>
      <c r="R26" s="4">
        <v>0</v>
      </c>
      <c r="S26" s="4">
        <f t="shared" si="0"/>
        <v>105.3</v>
      </c>
      <c r="T26" s="4">
        <f t="shared" si="1"/>
        <v>0</v>
      </c>
      <c r="U26" s="4">
        <f t="shared" si="2"/>
        <v>72</v>
      </c>
      <c r="V26" s="4">
        <f t="shared" si="3"/>
        <v>0</v>
      </c>
      <c r="W26" s="4">
        <f t="shared" si="4"/>
        <v>0</v>
      </c>
      <c r="X26" s="4">
        <f t="shared" si="5"/>
        <v>1.4624999999999999</v>
      </c>
      <c r="Y26" s="4">
        <f t="shared" si="6"/>
        <v>157.30000000000001</v>
      </c>
      <c r="Z26" s="4">
        <f t="shared" si="16"/>
        <v>0</v>
      </c>
      <c r="AA26" s="4">
        <f t="shared" si="7"/>
        <v>91</v>
      </c>
      <c r="AB26" s="4">
        <f t="shared" si="8"/>
        <v>0</v>
      </c>
      <c r="AC26" s="4">
        <f t="shared" si="9"/>
        <v>1.7285714285714286</v>
      </c>
      <c r="AD26" s="4">
        <f t="shared" si="17"/>
        <v>0</v>
      </c>
      <c r="AE26" s="4">
        <f t="shared" si="10"/>
        <v>10</v>
      </c>
      <c r="AF26" s="4">
        <f t="shared" si="11"/>
        <v>0</v>
      </c>
      <c r="AG26" s="4">
        <f t="shared" si="12"/>
        <v>1.2</v>
      </c>
      <c r="AH26" s="4">
        <f t="shared" si="13"/>
        <v>0</v>
      </c>
      <c r="AI26" s="4">
        <f t="shared" si="14"/>
        <v>1.33</v>
      </c>
      <c r="AJ26" s="4">
        <f t="shared" si="15"/>
        <v>0</v>
      </c>
      <c r="AK26" s="4">
        <v>1</v>
      </c>
    </row>
    <row r="27" spans="1:37" x14ac:dyDescent="0.2">
      <c r="A27" s="4">
        <v>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0.5</v>
      </c>
      <c r="H27" s="4">
        <v>0.5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</v>
      </c>
      <c r="Q27" s="4">
        <v>0</v>
      </c>
      <c r="R27" s="4">
        <v>0</v>
      </c>
      <c r="S27" s="4">
        <f t="shared" si="0"/>
        <v>104.3</v>
      </c>
      <c r="T27" s="4">
        <f t="shared" si="1"/>
        <v>9.5877277085330559E-3</v>
      </c>
      <c r="U27" s="4">
        <f t="shared" si="2"/>
        <v>72</v>
      </c>
      <c r="V27" s="4">
        <f t="shared" si="3"/>
        <v>0</v>
      </c>
      <c r="W27" s="4">
        <f t="shared" si="4"/>
        <v>9.5877277085330559E-3</v>
      </c>
      <c r="X27" s="4">
        <f t="shared" si="5"/>
        <v>1.4486111111111111</v>
      </c>
      <c r="Y27" s="4">
        <f t="shared" si="6"/>
        <v>154.65</v>
      </c>
      <c r="Z27" s="4">
        <f t="shared" si="16"/>
        <v>1.7135467183963859E-2</v>
      </c>
      <c r="AA27" s="4">
        <f t="shared" si="7"/>
        <v>91</v>
      </c>
      <c r="AB27" s="4">
        <f t="shared" si="8"/>
        <v>0</v>
      </c>
      <c r="AC27" s="4">
        <f t="shared" si="9"/>
        <v>1.6994505494505494</v>
      </c>
      <c r="AD27" s="4">
        <f t="shared" si="17"/>
        <v>1.7135467183963859E-2</v>
      </c>
      <c r="AE27" s="4">
        <f t="shared" si="10"/>
        <v>9.5</v>
      </c>
      <c r="AF27" s="4">
        <f t="shared" si="11"/>
        <v>5.2631578947368418E-2</v>
      </c>
      <c r="AG27" s="4">
        <f t="shared" si="12"/>
        <v>1.2</v>
      </c>
      <c r="AH27" s="4">
        <f t="shared" si="13"/>
        <v>0</v>
      </c>
      <c r="AI27" s="4">
        <f t="shared" si="14"/>
        <v>1.33</v>
      </c>
      <c r="AJ27" s="4">
        <f t="shared" si="15"/>
        <v>0</v>
      </c>
      <c r="AK27" s="4">
        <v>1</v>
      </c>
    </row>
    <row r="28" spans="1:37" x14ac:dyDescent="0.2">
      <c r="A28" s="4">
        <v>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0.3</v>
      </c>
      <c r="P28" s="4">
        <v>0.7</v>
      </c>
      <c r="Q28" s="4">
        <v>0</v>
      </c>
      <c r="R28" s="4">
        <v>0</v>
      </c>
      <c r="S28" s="4">
        <f t="shared" si="0"/>
        <v>101.9</v>
      </c>
      <c r="T28" s="4">
        <f t="shared" si="1"/>
        <v>0</v>
      </c>
      <c r="U28" s="4">
        <f t="shared" si="2"/>
        <v>68.55</v>
      </c>
      <c r="V28" s="4">
        <f t="shared" si="3"/>
        <v>7.6877637479200844E-2</v>
      </c>
      <c r="W28" s="4">
        <f t="shared" si="4"/>
        <v>7.6877637479200844E-2</v>
      </c>
      <c r="X28" s="4">
        <f t="shared" si="5"/>
        <v>1.4865061998541211</v>
      </c>
      <c r="Y28" s="4">
        <f t="shared" si="6"/>
        <v>88.9</v>
      </c>
      <c r="Z28" s="4">
        <f t="shared" si="16"/>
        <v>0</v>
      </c>
      <c r="AA28" s="4">
        <f t="shared" si="7"/>
        <v>78.069999999999993</v>
      </c>
      <c r="AB28" s="4">
        <f t="shared" si="8"/>
        <v>0.25298964064633883</v>
      </c>
      <c r="AC28" s="4">
        <f t="shared" si="9"/>
        <v>1.1387216600486745</v>
      </c>
      <c r="AD28" s="4">
        <f t="shared" si="17"/>
        <v>0.25298964064633883</v>
      </c>
      <c r="AE28" s="4">
        <f t="shared" si="10"/>
        <v>3</v>
      </c>
      <c r="AF28" s="4">
        <f t="shared" si="11"/>
        <v>0</v>
      </c>
      <c r="AG28" s="4">
        <f t="shared" si="12"/>
        <v>1.22</v>
      </c>
      <c r="AH28" s="4">
        <f t="shared" si="13"/>
        <v>0</v>
      </c>
      <c r="AI28" s="4">
        <f t="shared" si="14"/>
        <v>1.3929999999999998</v>
      </c>
      <c r="AJ28" s="4">
        <f t="shared" si="15"/>
        <v>6.9084055702851851E-2</v>
      </c>
      <c r="AK28" s="4">
        <v>0</v>
      </c>
    </row>
    <row r="29" spans="1:37" x14ac:dyDescent="0.2">
      <c r="A29" s="4">
        <v>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0.85</v>
      </c>
      <c r="P29" s="4">
        <v>0.15</v>
      </c>
      <c r="Q29" s="4">
        <v>0</v>
      </c>
      <c r="R29" s="4">
        <v>0</v>
      </c>
      <c r="S29" s="4">
        <f t="shared" si="0"/>
        <v>101.9</v>
      </c>
      <c r="T29" s="4">
        <f t="shared" si="1"/>
        <v>0</v>
      </c>
      <c r="U29" s="4">
        <f t="shared" si="2"/>
        <v>62.224999999999994</v>
      </c>
      <c r="V29" s="4">
        <f t="shared" si="3"/>
        <v>6.5991504160902159E-2</v>
      </c>
      <c r="W29" s="4">
        <f t="shared" si="4"/>
        <v>6.5991504160902159E-2</v>
      </c>
      <c r="X29" s="4">
        <f t="shared" si="5"/>
        <v>1.6376054640417841</v>
      </c>
      <c r="Y29" s="4">
        <f t="shared" si="6"/>
        <v>88.9</v>
      </c>
      <c r="Z29" s="4">
        <f t="shared" si="16"/>
        <v>0</v>
      </c>
      <c r="AA29" s="4">
        <f t="shared" si="7"/>
        <v>54.364999999999995</v>
      </c>
      <c r="AB29" s="4">
        <f t="shared" si="8"/>
        <v>0.28308246598932851</v>
      </c>
      <c r="AC29" s="4">
        <f t="shared" si="9"/>
        <v>1.6352432631288516</v>
      </c>
      <c r="AD29" s="4">
        <f t="shared" si="17"/>
        <v>0.28308246598932851</v>
      </c>
      <c r="AE29" s="4">
        <f t="shared" si="10"/>
        <v>3</v>
      </c>
      <c r="AF29" s="4">
        <f t="shared" si="11"/>
        <v>0</v>
      </c>
      <c r="AG29" s="4">
        <f t="shared" si="12"/>
        <v>1.22</v>
      </c>
      <c r="AH29" s="4">
        <f t="shared" si="13"/>
        <v>0</v>
      </c>
      <c r="AI29" s="4">
        <f t="shared" si="14"/>
        <v>1.5085</v>
      </c>
      <c r="AJ29" s="4">
        <f t="shared" si="15"/>
        <v>4.9708318528140463E-2</v>
      </c>
      <c r="AK29" s="4">
        <v>1</v>
      </c>
    </row>
    <row r="30" spans="1:37" x14ac:dyDescent="0.2">
      <c r="A30" s="4">
        <v>0</v>
      </c>
      <c r="B30" s="4">
        <v>0</v>
      </c>
      <c r="C30" s="4">
        <v>0</v>
      </c>
      <c r="D30" s="4">
        <v>0</v>
      </c>
      <c r="E30" s="4">
        <v>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1</v>
      </c>
      <c r="P30" s="4">
        <v>0</v>
      </c>
      <c r="Q30" s="4">
        <v>0</v>
      </c>
      <c r="R30" s="4">
        <v>0</v>
      </c>
      <c r="S30" s="4">
        <f t="shared" si="0"/>
        <v>110.9</v>
      </c>
      <c r="T30" s="4">
        <f t="shared" si="1"/>
        <v>0</v>
      </c>
      <c r="U30" s="4">
        <f t="shared" si="2"/>
        <v>60.5</v>
      </c>
      <c r="V30" s="4">
        <f t="shared" si="3"/>
        <v>0</v>
      </c>
      <c r="W30" s="4">
        <f t="shared" si="4"/>
        <v>0</v>
      </c>
      <c r="X30" s="4">
        <f t="shared" si="5"/>
        <v>1.8330578512396696</v>
      </c>
      <c r="Y30" s="4">
        <f t="shared" si="6"/>
        <v>144.19999999999999</v>
      </c>
      <c r="Z30" s="4">
        <f t="shared" si="16"/>
        <v>0</v>
      </c>
      <c r="AA30" s="4">
        <f t="shared" si="7"/>
        <v>47.9</v>
      </c>
      <c r="AB30" s="4">
        <f t="shared" si="8"/>
        <v>0</v>
      </c>
      <c r="AC30" s="4">
        <f t="shared" si="9"/>
        <v>3.010438413361169</v>
      </c>
      <c r="AD30" s="4">
        <f t="shared" si="17"/>
        <v>0</v>
      </c>
      <c r="AE30" s="4">
        <f t="shared" si="10"/>
        <v>6</v>
      </c>
      <c r="AF30" s="4">
        <f t="shared" si="11"/>
        <v>0</v>
      </c>
      <c r="AG30" s="4">
        <f t="shared" si="12"/>
        <v>1.1399999999999999</v>
      </c>
      <c r="AH30" s="4">
        <f t="shared" si="13"/>
        <v>0</v>
      </c>
      <c r="AI30" s="4">
        <f t="shared" si="14"/>
        <v>1.54</v>
      </c>
      <c r="AJ30" s="4">
        <f t="shared" si="15"/>
        <v>0</v>
      </c>
      <c r="AK30" s="4">
        <v>0</v>
      </c>
    </row>
    <row r="31" spans="1:37" x14ac:dyDescent="0.2">
      <c r="A31" s="4">
        <v>0.2</v>
      </c>
      <c r="B31" s="4">
        <v>0.2</v>
      </c>
      <c r="C31" s="4">
        <v>0</v>
      </c>
      <c r="D31" s="4">
        <v>0</v>
      </c>
      <c r="E31" s="4">
        <v>0.2</v>
      </c>
      <c r="F31" s="4">
        <v>0</v>
      </c>
      <c r="G31" s="4">
        <v>0.2</v>
      </c>
      <c r="H31" s="4">
        <v>0.2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1</v>
      </c>
      <c r="Q31" s="4">
        <v>0</v>
      </c>
      <c r="R31" s="4">
        <v>0</v>
      </c>
      <c r="S31" s="4">
        <f t="shared" si="0"/>
        <v>107.48</v>
      </c>
      <c r="T31" s="4">
        <f t="shared" si="1"/>
        <v>4.8817135570168847E-2</v>
      </c>
      <c r="U31" s="4">
        <f t="shared" si="2"/>
        <v>72</v>
      </c>
      <c r="V31" s="4">
        <f t="shared" si="3"/>
        <v>0</v>
      </c>
      <c r="W31" s="4">
        <f t="shared" si="4"/>
        <v>4.8817135570168847E-2</v>
      </c>
      <c r="X31" s="4">
        <f t="shared" si="5"/>
        <v>1.4927777777777778</v>
      </c>
      <c r="Y31" s="4">
        <f t="shared" si="6"/>
        <v>136.26000000000002</v>
      </c>
      <c r="Z31" s="4">
        <f t="shared" si="16"/>
        <v>0.17986806767320809</v>
      </c>
      <c r="AA31" s="4">
        <f t="shared" si="7"/>
        <v>91</v>
      </c>
      <c r="AB31" s="4">
        <f t="shared" si="8"/>
        <v>0</v>
      </c>
      <c r="AC31" s="4">
        <f t="shared" si="9"/>
        <v>1.4973626373626376</v>
      </c>
      <c r="AD31" s="4">
        <f t="shared" si="17"/>
        <v>0.17986806767320809</v>
      </c>
      <c r="AE31" s="4">
        <f t="shared" si="10"/>
        <v>6.2</v>
      </c>
      <c r="AF31" s="4">
        <f t="shared" si="11"/>
        <v>0.47189480123638045</v>
      </c>
      <c r="AG31" s="4">
        <f t="shared" si="12"/>
        <v>1.1719999999999999</v>
      </c>
      <c r="AH31" s="4">
        <f t="shared" si="13"/>
        <v>3.8310485188811687E-2</v>
      </c>
      <c r="AI31" s="4">
        <f t="shared" si="14"/>
        <v>1.33</v>
      </c>
      <c r="AJ31" s="4">
        <f t="shared" si="15"/>
        <v>0</v>
      </c>
      <c r="AK31" s="4">
        <v>1</v>
      </c>
    </row>
    <row r="32" spans="1:37" x14ac:dyDescent="0.2">
      <c r="A32" s="4">
        <f>1/3</f>
        <v>0.33333333333333331</v>
      </c>
      <c r="B32" s="4">
        <f>1/3</f>
        <v>0.33333333333333331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f>1/3</f>
        <v>0.33333333333333331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1</v>
      </c>
      <c r="P32" s="4">
        <v>0</v>
      </c>
      <c r="Q32" s="4">
        <v>0</v>
      </c>
      <c r="R32" s="4">
        <v>0</v>
      </c>
      <c r="S32" s="4">
        <f t="shared" si="0"/>
        <v>107.73333333333332</v>
      </c>
      <c r="T32" s="4">
        <f t="shared" si="1"/>
        <v>5.5766933965648705E-2</v>
      </c>
      <c r="U32" s="4">
        <f t="shared" si="2"/>
        <v>60.5</v>
      </c>
      <c r="V32" s="4">
        <f t="shared" si="3"/>
        <v>0</v>
      </c>
      <c r="W32" s="4">
        <f t="shared" si="4"/>
        <v>5.5766933965648705E-2</v>
      </c>
      <c r="X32" s="4">
        <f t="shared" si="5"/>
        <v>1.7807162534435259</v>
      </c>
      <c r="Y32" s="4">
        <f t="shared" si="6"/>
        <v>128.36666666666667</v>
      </c>
      <c r="Z32" s="4">
        <f t="shared" si="16"/>
        <v>0.22513977253381443</v>
      </c>
      <c r="AA32" s="4">
        <f t="shared" si="7"/>
        <v>47.9</v>
      </c>
      <c r="AB32" s="4">
        <f t="shared" si="8"/>
        <v>0</v>
      </c>
      <c r="AC32" s="4">
        <f t="shared" si="9"/>
        <v>2.6798886569241476</v>
      </c>
      <c r="AD32" s="4">
        <f t="shared" si="17"/>
        <v>0.22513977253381443</v>
      </c>
      <c r="AE32" s="4">
        <f t="shared" si="10"/>
        <v>5.333333333333333</v>
      </c>
      <c r="AF32" s="4">
        <f t="shared" si="11"/>
        <v>0.61871843353822908</v>
      </c>
      <c r="AG32" s="4">
        <f t="shared" si="12"/>
        <v>1.1733333333333333</v>
      </c>
      <c r="AH32" s="4">
        <f t="shared" si="13"/>
        <v>4.4738681102339785E-2</v>
      </c>
      <c r="AI32" s="4">
        <f t="shared" si="14"/>
        <v>1.54</v>
      </c>
      <c r="AJ32" s="4">
        <f t="shared" si="15"/>
        <v>0</v>
      </c>
      <c r="AK32" s="4">
        <v>0</v>
      </c>
    </row>
    <row r="33" spans="1:37" x14ac:dyDescent="0.2">
      <c r="A33" s="4">
        <v>0</v>
      </c>
      <c r="B33" s="4">
        <v>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1</v>
      </c>
      <c r="S33" s="4">
        <f t="shared" si="0"/>
        <v>116</v>
      </c>
      <c r="T33" s="4">
        <f t="shared" si="1"/>
        <v>0</v>
      </c>
      <c r="U33" s="4">
        <f t="shared" si="2"/>
        <v>69</v>
      </c>
      <c r="V33" s="4">
        <f t="shared" si="3"/>
        <v>0</v>
      </c>
      <c r="W33" s="4">
        <f t="shared" si="4"/>
        <v>0</v>
      </c>
      <c r="X33" s="4">
        <f t="shared" si="5"/>
        <v>1.681159420289855</v>
      </c>
      <c r="Y33" s="4">
        <f t="shared" si="6"/>
        <v>138.9</v>
      </c>
      <c r="Z33" s="4">
        <f t="shared" si="16"/>
        <v>0</v>
      </c>
      <c r="AA33" s="4">
        <f t="shared" si="7"/>
        <v>118.7</v>
      </c>
      <c r="AB33" s="4">
        <f t="shared" si="8"/>
        <v>0</v>
      </c>
      <c r="AC33" s="4">
        <f t="shared" si="9"/>
        <v>1.1701769165964617</v>
      </c>
      <c r="AD33" s="4">
        <f t="shared" si="17"/>
        <v>0</v>
      </c>
      <c r="AE33" s="4">
        <f t="shared" si="10"/>
        <v>3</v>
      </c>
      <c r="AF33" s="4">
        <f t="shared" si="11"/>
        <v>0</v>
      </c>
      <c r="AG33" s="4">
        <f t="shared" si="12"/>
        <v>1.1000000000000001</v>
      </c>
      <c r="AH33" s="4">
        <f t="shared" si="13"/>
        <v>0</v>
      </c>
      <c r="AI33" s="4">
        <f t="shared" si="14"/>
        <v>1.96</v>
      </c>
      <c r="AJ33" s="4">
        <f t="shared" si="15"/>
        <v>0</v>
      </c>
      <c r="AK33" s="4">
        <v>1</v>
      </c>
    </row>
    <row r="34" spans="1:37" x14ac:dyDescent="0.2">
      <c r="A34" s="4">
        <v>0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1</v>
      </c>
      <c r="P34" s="4">
        <v>0</v>
      </c>
      <c r="Q34" s="4">
        <v>0</v>
      </c>
      <c r="R34" s="4">
        <v>0</v>
      </c>
      <c r="S34" s="4">
        <f t="shared" si="0"/>
        <v>116</v>
      </c>
      <c r="T34" s="4">
        <f t="shared" si="1"/>
        <v>0</v>
      </c>
      <c r="U34" s="4">
        <f t="shared" si="2"/>
        <v>60.5</v>
      </c>
      <c r="V34" s="4">
        <f t="shared" si="3"/>
        <v>0</v>
      </c>
      <c r="W34" s="4">
        <f t="shared" si="4"/>
        <v>0</v>
      </c>
      <c r="X34" s="4">
        <f t="shared" si="5"/>
        <v>1.9173553719008265</v>
      </c>
      <c r="Y34" s="4">
        <f t="shared" si="6"/>
        <v>138.9</v>
      </c>
      <c r="Z34" s="4">
        <f t="shared" si="16"/>
        <v>0</v>
      </c>
      <c r="AA34" s="4">
        <f t="shared" si="7"/>
        <v>47.9</v>
      </c>
      <c r="AB34" s="4">
        <f t="shared" si="8"/>
        <v>0</v>
      </c>
      <c r="AC34" s="4">
        <f t="shared" si="9"/>
        <v>2.899791231732777</v>
      </c>
      <c r="AD34" s="4">
        <f t="shared" si="17"/>
        <v>0</v>
      </c>
      <c r="AE34" s="4">
        <f t="shared" si="10"/>
        <v>3</v>
      </c>
      <c r="AF34" s="4">
        <f t="shared" si="11"/>
        <v>0</v>
      </c>
      <c r="AG34" s="4">
        <f t="shared" si="12"/>
        <v>1.1000000000000001</v>
      </c>
      <c r="AH34" s="4">
        <f t="shared" si="13"/>
        <v>0</v>
      </c>
      <c r="AI34" s="4">
        <f t="shared" si="14"/>
        <v>1.54</v>
      </c>
      <c r="AJ34" s="4">
        <f t="shared" si="15"/>
        <v>0</v>
      </c>
      <c r="AK34" s="4">
        <v>0</v>
      </c>
    </row>
    <row r="35" spans="1:37" x14ac:dyDescent="0.2">
      <c r="A35" s="4">
        <v>0</v>
      </c>
      <c r="B35" s="4">
        <v>1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1</v>
      </c>
      <c r="Q35" s="4">
        <v>0</v>
      </c>
      <c r="R35" s="4">
        <v>0</v>
      </c>
      <c r="S35" s="4">
        <f t="shared" si="0"/>
        <v>116</v>
      </c>
      <c r="T35" s="4">
        <f t="shared" si="1"/>
        <v>0</v>
      </c>
      <c r="U35" s="4">
        <f t="shared" si="2"/>
        <v>72</v>
      </c>
      <c r="V35" s="4">
        <f t="shared" si="3"/>
        <v>0</v>
      </c>
      <c r="W35" s="4">
        <f t="shared" si="4"/>
        <v>0</v>
      </c>
      <c r="X35" s="4">
        <f t="shared" si="5"/>
        <v>1.6111111111111112</v>
      </c>
      <c r="Y35" s="4">
        <f t="shared" si="6"/>
        <v>138.9</v>
      </c>
      <c r="Z35" s="4">
        <f t="shared" si="16"/>
        <v>0</v>
      </c>
      <c r="AA35" s="4">
        <f t="shared" si="7"/>
        <v>91</v>
      </c>
      <c r="AB35" s="4">
        <f t="shared" si="8"/>
        <v>0</v>
      </c>
      <c r="AC35" s="4">
        <f t="shared" si="9"/>
        <v>1.5263736263736265</v>
      </c>
      <c r="AD35" s="4">
        <f t="shared" si="17"/>
        <v>0</v>
      </c>
      <c r="AE35" s="4">
        <f t="shared" si="10"/>
        <v>3</v>
      </c>
      <c r="AF35" s="4">
        <f t="shared" si="11"/>
        <v>0</v>
      </c>
      <c r="AG35" s="4">
        <f t="shared" si="12"/>
        <v>1.1000000000000001</v>
      </c>
      <c r="AH35" s="4">
        <f t="shared" si="13"/>
        <v>0</v>
      </c>
      <c r="AI35" s="4">
        <f t="shared" si="14"/>
        <v>1.33</v>
      </c>
      <c r="AJ35" s="4">
        <f t="shared" si="15"/>
        <v>0</v>
      </c>
      <c r="AK35" s="4">
        <v>1</v>
      </c>
    </row>
    <row r="36" spans="1:37" x14ac:dyDescent="0.2">
      <c r="A36" s="4">
        <v>0</v>
      </c>
      <c r="B36" s="4">
        <v>1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0.5</v>
      </c>
      <c r="Q36" s="4">
        <v>0.5</v>
      </c>
      <c r="R36" s="4">
        <v>0</v>
      </c>
      <c r="S36" s="4">
        <f t="shared" si="0"/>
        <v>116</v>
      </c>
      <c r="T36" s="4">
        <f t="shared" si="1"/>
        <v>0</v>
      </c>
      <c r="U36" s="4">
        <f t="shared" si="2"/>
        <v>71.5</v>
      </c>
      <c r="V36" s="4">
        <f t="shared" si="3"/>
        <v>6.9930069930070338E-3</v>
      </c>
      <c r="W36" s="4">
        <f t="shared" si="4"/>
        <v>6.9930069930070338E-3</v>
      </c>
      <c r="X36" s="4">
        <f t="shared" si="5"/>
        <v>1.6223776223776223</v>
      </c>
      <c r="Y36" s="4">
        <f t="shared" si="6"/>
        <v>138.9</v>
      </c>
      <c r="Z36" s="4">
        <f t="shared" si="16"/>
        <v>0</v>
      </c>
      <c r="AA36" s="4">
        <f t="shared" si="7"/>
        <v>134.5</v>
      </c>
      <c r="AB36" s="4">
        <f t="shared" si="8"/>
        <v>0.32342007434944242</v>
      </c>
      <c r="AC36" s="4">
        <f t="shared" si="9"/>
        <v>1.0327137546468401</v>
      </c>
      <c r="AD36" s="4">
        <f t="shared" si="17"/>
        <v>0.32342007434944242</v>
      </c>
      <c r="AE36" s="4">
        <f t="shared" si="10"/>
        <v>3</v>
      </c>
      <c r="AF36" s="4">
        <f t="shared" si="11"/>
        <v>0</v>
      </c>
      <c r="AG36" s="4">
        <f t="shared" si="12"/>
        <v>1.1000000000000001</v>
      </c>
      <c r="AH36" s="4">
        <f t="shared" si="13"/>
        <v>0</v>
      </c>
      <c r="AI36" s="4">
        <f t="shared" si="14"/>
        <v>1.3149999999999999</v>
      </c>
      <c r="AJ36" s="4">
        <f t="shared" si="15"/>
        <v>1.1406844106463809E-2</v>
      </c>
      <c r="AK36" s="4">
        <v>1</v>
      </c>
    </row>
    <row r="37" spans="1:37" x14ac:dyDescent="0.2">
      <c r="A37" s="4">
        <v>0.25</v>
      </c>
      <c r="B37" s="4">
        <v>0.25</v>
      </c>
      <c r="C37" s="4">
        <v>0</v>
      </c>
      <c r="D37" s="4">
        <v>0.25</v>
      </c>
      <c r="E37" s="4">
        <v>0</v>
      </c>
      <c r="F37" s="4">
        <v>0</v>
      </c>
      <c r="G37" s="4">
        <v>0</v>
      </c>
      <c r="H37" s="4">
        <v>0.25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1</v>
      </c>
      <c r="P37" s="4">
        <v>0</v>
      </c>
      <c r="Q37" s="4">
        <v>0</v>
      </c>
      <c r="R37" s="4">
        <v>0</v>
      </c>
      <c r="S37" s="4">
        <f t="shared" si="0"/>
        <v>108.95</v>
      </c>
      <c r="T37" s="4">
        <f t="shared" si="1"/>
        <v>5.1524548492113256E-2</v>
      </c>
      <c r="U37" s="4">
        <f t="shared" si="2"/>
        <v>60.5</v>
      </c>
      <c r="V37" s="4">
        <f t="shared" si="3"/>
        <v>0</v>
      </c>
      <c r="W37" s="4">
        <f t="shared" si="4"/>
        <v>5.1524548492113256E-2</v>
      </c>
      <c r="X37" s="4">
        <f t="shared" si="5"/>
        <v>1.8008264462809918</v>
      </c>
      <c r="Y37" s="4">
        <f t="shared" si="6"/>
        <v>131.5</v>
      </c>
      <c r="Z37" s="4">
        <f t="shared" si="16"/>
        <v>0.19475402460959598</v>
      </c>
      <c r="AA37" s="4">
        <f t="shared" si="7"/>
        <v>47.9</v>
      </c>
      <c r="AB37" s="4">
        <f t="shared" si="8"/>
        <v>0</v>
      </c>
      <c r="AC37" s="4">
        <f t="shared" si="9"/>
        <v>2.7453027139874742</v>
      </c>
      <c r="AD37" s="4">
        <f t="shared" si="17"/>
        <v>0.19475402460959598</v>
      </c>
      <c r="AE37" s="4">
        <f t="shared" si="10"/>
        <v>5.25</v>
      </c>
      <c r="AF37" s="4">
        <f t="shared" si="11"/>
        <v>0.54502491153617127</v>
      </c>
      <c r="AG37" s="4">
        <f t="shared" si="12"/>
        <v>1.1625000000000001</v>
      </c>
      <c r="AH37" s="4">
        <f t="shared" si="13"/>
        <v>4.2306054995496757E-2</v>
      </c>
      <c r="AI37" s="4">
        <f t="shared" si="14"/>
        <v>1.54</v>
      </c>
      <c r="AJ37" s="4">
        <f t="shared" si="15"/>
        <v>0</v>
      </c>
      <c r="AK37" s="4">
        <v>0</v>
      </c>
    </row>
    <row r="38" spans="1:37" x14ac:dyDescent="0.2">
      <c r="A38" s="4">
        <f>1/3</f>
        <v>0.33333333333333331</v>
      </c>
      <c r="B38" s="4">
        <v>0</v>
      </c>
      <c r="C38" s="4">
        <v>0</v>
      </c>
      <c r="D38" s="4">
        <f>1/3</f>
        <v>0.33333333333333331</v>
      </c>
      <c r="E38" s="4">
        <v>0</v>
      </c>
      <c r="F38" s="4">
        <v>0</v>
      </c>
      <c r="G38" s="4">
        <v>0</v>
      </c>
      <c r="H38" s="4">
        <f>1/3</f>
        <v>0.33333333333333331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1</v>
      </c>
      <c r="P38" s="4">
        <v>0</v>
      </c>
      <c r="Q38" s="4">
        <v>0</v>
      </c>
      <c r="R38" s="4">
        <v>0</v>
      </c>
      <c r="S38" s="4">
        <f t="shared" si="0"/>
        <v>106.6</v>
      </c>
      <c r="T38" s="4">
        <f t="shared" si="1"/>
        <v>4.1875511347080327E-2</v>
      </c>
      <c r="U38" s="4">
        <f t="shared" si="2"/>
        <v>60.5</v>
      </c>
      <c r="V38" s="4">
        <f t="shared" si="3"/>
        <v>0</v>
      </c>
      <c r="W38" s="4">
        <f t="shared" si="4"/>
        <v>4.1875511347080327E-2</v>
      </c>
      <c r="X38" s="4">
        <f t="shared" si="5"/>
        <v>1.76198347107438</v>
      </c>
      <c r="Y38" s="4">
        <f t="shared" si="6"/>
        <v>129.03333333333333</v>
      </c>
      <c r="Z38" s="4">
        <f t="shared" si="16"/>
        <v>0.22596994898668599</v>
      </c>
      <c r="AA38" s="4">
        <f t="shared" si="7"/>
        <v>47.9</v>
      </c>
      <c r="AB38" s="4">
        <f t="shared" si="8"/>
        <v>0</v>
      </c>
      <c r="AC38" s="4">
        <f t="shared" si="9"/>
        <v>2.6938065414057064</v>
      </c>
      <c r="AD38" s="4">
        <f t="shared" si="17"/>
        <v>0.22596994898668599</v>
      </c>
      <c r="AE38" s="4">
        <f t="shared" si="10"/>
        <v>6</v>
      </c>
      <c r="AF38" s="4">
        <f t="shared" si="11"/>
        <v>0.49065338146265819</v>
      </c>
      <c r="AG38" s="4">
        <f t="shared" si="12"/>
        <v>1.1833333333333331</v>
      </c>
      <c r="AH38" s="4">
        <f t="shared" si="13"/>
        <v>3.260799127546548E-2</v>
      </c>
      <c r="AI38" s="4">
        <f t="shared" si="14"/>
        <v>1.54</v>
      </c>
      <c r="AJ38" s="4">
        <f t="shared" si="15"/>
        <v>0</v>
      </c>
      <c r="AK38" s="4">
        <v>1</v>
      </c>
    </row>
    <row r="39" spans="1:37" x14ac:dyDescent="0.2">
      <c r="A39" s="4">
        <v>0</v>
      </c>
      <c r="B39" s="4">
        <f>1/3</f>
        <v>0.33333333333333331</v>
      </c>
      <c r="C39" s="4">
        <v>0</v>
      </c>
      <c r="D39" s="4">
        <f>1/3</f>
        <v>0.33333333333333331</v>
      </c>
      <c r="E39" s="4">
        <f>1/3</f>
        <v>0.33333333333333331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0.5</v>
      </c>
      <c r="Q39" s="4">
        <v>0.5</v>
      </c>
      <c r="R39" s="4">
        <v>0</v>
      </c>
      <c r="S39" s="4">
        <f t="shared" si="0"/>
        <v>113.16666666666666</v>
      </c>
      <c r="T39" s="4">
        <f t="shared" si="1"/>
        <v>1.8735839639221496E-2</v>
      </c>
      <c r="U39" s="4">
        <f t="shared" si="2"/>
        <v>71.5</v>
      </c>
      <c r="V39" s="4">
        <f t="shared" si="3"/>
        <v>6.9930069930070338E-3</v>
      </c>
      <c r="W39" s="4">
        <f t="shared" si="4"/>
        <v>1.9998345776360324E-2</v>
      </c>
      <c r="X39" s="4">
        <f t="shared" si="5"/>
        <v>1.5827505827505826</v>
      </c>
      <c r="Y39" s="4">
        <f t="shared" si="6"/>
        <v>141.33333333333331</v>
      </c>
      <c r="Z39" s="4">
        <f t="shared" si="16"/>
        <v>1.5462059814229911E-2</v>
      </c>
      <c r="AA39" s="4">
        <f t="shared" si="7"/>
        <v>134.5</v>
      </c>
      <c r="AB39" s="4">
        <f t="shared" si="8"/>
        <v>0.32342007434944242</v>
      </c>
      <c r="AC39" s="4">
        <f t="shared" si="9"/>
        <v>1.050805452292441</v>
      </c>
      <c r="AD39" s="4">
        <f t="shared" si="17"/>
        <v>0.32378946830602395</v>
      </c>
      <c r="AE39" s="4">
        <f t="shared" si="10"/>
        <v>4.6666666666666661</v>
      </c>
      <c r="AF39" s="4">
        <f t="shared" si="11"/>
        <v>0.26726124191242445</v>
      </c>
      <c r="AG39" s="4">
        <f t="shared" si="12"/>
        <v>1.1233333333333333</v>
      </c>
      <c r="AH39" s="4">
        <f t="shared" si="13"/>
        <v>1.5130621702055697E-2</v>
      </c>
      <c r="AI39" s="4">
        <f t="shared" si="14"/>
        <v>1.3149999999999999</v>
      </c>
      <c r="AJ39" s="4">
        <f t="shared" si="15"/>
        <v>1.1406844106463809E-2</v>
      </c>
      <c r="AK39" s="4">
        <v>1</v>
      </c>
    </row>
    <row r="40" spans="1:37" x14ac:dyDescent="0.2">
      <c r="A40" s="4">
        <v>0.5</v>
      </c>
      <c r="B40" s="4">
        <v>0</v>
      </c>
      <c r="C40" s="4">
        <v>0</v>
      </c>
      <c r="D40" s="4">
        <v>0.5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1</v>
      </c>
      <c r="P40" s="4">
        <v>0</v>
      </c>
      <c r="Q40" s="4">
        <v>0</v>
      </c>
      <c r="R40" s="4">
        <v>0</v>
      </c>
      <c r="S40" s="4">
        <f t="shared" si="0"/>
        <v>107.25</v>
      </c>
      <c r="T40" s="4">
        <f t="shared" si="1"/>
        <v>4.9883449883449782E-2</v>
      </c>
      <c r="U40" s="4">
        <f t="shared" si="2"/>
        <v>60.5</v>
      </c>
      <c r="V40" s="4">
        <f t="shared" si="3"/>
        <v>0</v>
      </c>
      <c r="W40" s="4">
        <f t="shared" si="4"/>
        <v>4.9883449883449782E-2</v>
      </c>
      <c r="X40" s="4">
        <f t="shared" si="5"/>
        <v>1.7727272727272727</v>
      </c>
      <c r="Y40" s="4">
        <f t="shared" si="6"/>
        <v>114.9</v>
      </c>
      <c r="Z40" s="4">
        <f t="shared" si="16"/>
        <v>0.2262837249782419</v>
      </c>
      <c r="AA40" s="4">
        <f t="shared" si="7"/>
        <v>47.9</v>
      </c>
      <c r="AB40" s="4">
        <f t="shared" si="8"/>
        <v>0</v>
      </c>
      <c r="AC40" s="4">
        <f t="shared" si="9"/>
        <v>2.3987473903966601</v>
      </c>
      <c r="AD40" s="4">
        <f t="shared" si="17"/>
        <v>0.2262837249782419</v>
      </c>
      <c r="AE40" s="4">
        <f t="shared" si="10"/>
        <v>4</v>
      </c>
      <c r="AF40" s="4">
        <f t="shared" si="11"/>
        <v>0.25</v>
      </c>
      <c r="AG40" s="4">
        <f t="shared" si="12"/>
        <v>1.1749999999999998</v>
      </c>
      <c r="AH40" s="4">
        <f t="shared" si="13"/>
        <v>3.8297872340425587E-2</v>
      </c>
      <c r="AI40" s="4">
        <f t="shared" si="14"/>
        <v>1.54</v>
      </c>
      <c r="AJ40" s="4">
        <f t="shared" si="15"/>
        <v>0</v>
      </c>
      <c r="AK40" s="4">
        <v>0</v>
      </c>
    </row>
    <row r="41" spans="1:37" x14ac:dyDescent="0.2">
      <c r="A41" s="4">
        <v>0.5</v>
      </c>
      <c r="B41" s="4">
        <v>0</v>
      </c>
      <c r="C41" s="4">
        <v>0</v>
      </c>
      <c r="D41" s="4">
        <v>0.5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0.5</v>
      </c>
      <c r="P41" s="4">
        <v>0.5</v>
      </c>
      <c r="Q41" s="4">
        <v>0</v>
      </c>
      <c r="R41" s="4">
        <v>0</v>
      </c>
      <c r="S41" s="4">
        <f t="shared" si="0"/>
        <v>107.25</v>
      </c>
      <c r="T41" s="4">
        <f t="shared" si="1"/>
        <v>4.9883449883449782E-2</v>
      </c>
      <c r="U41" s="4">
        <f t="shared" si="2"/>
        <v>66.25</v>
      </c>
      <c r="V41" s="4">
        <f t="shared" si="3"/>
        <v>8.679245283018866E-2</v>
      </c>
      <c r="W41" s="4">
        <f t="shared" si="4"/>
        <v>0.10010638561328228</v>
      </c>
      <c r="X41" s="4">
        <f t="shared" si="5"/>
        <v>1.618867924528302</v>
      </c>
      <c r="Y41" s="4">
        <f t="shared" si="6"/>
        <v>114.9</v>
      </c>
      <c r="Z41" s="4">
        <f t="shared" si="16"/>
        <v>0.2262837249782419</v>
      </c>
      <c r="AA41" s="4">
        <f t="shared" si="7"/>
        <v>69.45</v>
      </c>
      <c r="AB41" s="4">
        <f t="shared" si="8"/>
        <v>0.3102951763858891</v>
      </c>
      <c r="AC41" s="4">
        <f t="shared" si="9"/>
        <v>1.6544276457883369</v>
      </c>
      <c r="AD41" s="4">
        <f t="shared" si="17"/>
        <v>0.38404091016241831</v>
      </c>
      <c r="AE41" s="4">
        <f t="shared" si="10"/>
        <v>4</v>
      </c>
      <c r="AF41" s="4">
        <f t="shared" si="11"/>
        <v>0.25</v>
      </c>
      <c r="AG41" s="4">
        <f t="shared" si="12"/>
        <v>1.1749999999999998</v>
      </c>
      <c r="AH41" s="4">
        <f t="shared" si="13"/>
        <v>3.8297872340425587E-2</v>
      </c>
      <c r="AI41" s="4">
        <f t="shared" si="14"/>
        <v>1.4350000000000001</v>
      </c>
      <c r="AJ41" s="4">
        <f t="shared" si="15"/>
        <v>7.3170731707317083E-2</v>
      </c>
      <c r="AK41" s="4">
        <v>1</v>
      </c>
    </row>
    <row r="42" spans="1:37" x14ac:dyDescent="0.2">
      <c r="A42" s="4">
        <v>0</v>
      </c>
      <c r="B42" s="4">
        <v>0.5</v>
      </c>
      <c r="C42" s="4">
        <v>0</v>
      </c>
      <c r="D42" s="4">
        <v>0.5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f>1/3</f>
        <v>0.33333333333333331</v>
      </c>
      <c r="Q42" s="4">
        <f>1/3</f>
        <v>0.33333333333333331</v>
      </c>
      <c r="R42" s="4">
        <f>1/3</f>
        <v>0.33333333333333331</v>
      </c>
      <c r="S42" s="4">
        <f t="shared" si="0"/>
        <v>114.3</v>
      </c>
      <c r="T42" s="4">
        <f t="shared" si="1"/>
        <v>1.487314085739283E-2</v>
      </c>
      <c r="U42" s="4">
        <f t="shared" si="2"/>
        <v>70.666666666666657</v>
      </c>
      <c r="V42" s="4">
        <f t="shared" si="3"/>
        <v>1.7649327296103502E-2</v>
      </c>
      <c r="W42" s="4">
        <f t="shared" si="4"/>
        <v>2.3080491176940582E-2</v>
      </c>
      <c r="X42" s="4">
        <f t="shared" si="5"/>
        <v>1.6174528301886795</v>
      </c>
      <c r="Y42" s="4">
        <f t="shared" si="6"/>
        <v>139.9</v>
      </c>
      <c r="Z42" s="4">
        <f t="shared" si="16"/>
        <v>7.1479628305932685E-3</v>
      </c>
      <c r="AA42" s="4">
        <f t="shared" si="7"/>
        <v>129.23333333333332</v>
      </c>
      <c r="AB42" s="4">
        <f t="shared" si="8"/>
        <v>0.28081112586916562</v>
      </c>
      <c r="AC42" s="4">
        <f t="shared" si="9"/>
        <v>1.0825380448800621</v>
      </c>
      <c r="AD42" s="4">
        <f t="shared" si="17"/>
        <v>0.28090208576038722</v>
      </c>
      <c r="AE42" s="4">
        <f t="shared" si="10"/>
        <v>4</v>
      </c>
      <c r="AF42" s="4">
        <f t="shared" si="11"/>
        <v>0.25</v>
      </c>
      <c r="AG42" s="4">
        <f t="shared" si="12"/>
        <v>1.115</v>
      </c>
      <c r="AH42" s="4">
        <f t="shared" si="13"/>
        <v>1.345291479820615E-2</v>
      </c>
      <c r="AI42" s="4">
        <f t="shared" si="14"/>
        <v>1.53</v>
      </c>
      <c r="AJ42" s="4">
        <f t="shared" si="15"/>
        <v>0.19889051051899262</v>
      </c>
      <c r="AK42" s="4">
        <v>1</v>
      </c>
    </row>
    <row r="43" spans="1:37" x14ac:dyDescent="0.2">
      <c r="A43" s="4">
        <v>0</v>
      </c>
      <c r="B43" s="4">
        <v>0</v>
      </c>
      <c r="C43" s="4">
        <v>0</v>
      </c>
      <c r="D43" s="4">
        <v>1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1</v>
      </c>
      <c r="S43" s="4">
        <f t="shared" si="0"/>
        <v>112.6</v>
      </c>
      <c r="T43" s="4">
        <f t="shared" si="1"/>
        <v>0</v>
      </c>
      <c r="U43" s="4">
        <f t="shared" si="2"/>
        <v>69</v>
      </c>
      <c r="V43" s="4">
        <f t="shared" si="3"/>
        <v>0</v>
      </c>
      <c r="W43" s="4">
        <f t="shared" si="4"/>
        <v>0</v>
      </c>
      <c r="X43" s="4">
        <f t="shared" si="5"/>
        <v>1.6318840579710143</v>
      </c>
      <c r="Y43" s="4">
        <f t="shared" si="6"/>
        <v>140.9</v>
      </c>
      <c r="Z43" s="4">
        <f t="shared" si="16"/>
        <v>0</v>
      </c>
      <c r="AA43" s="4">
        <f t="shared" si="7"/>
        <v>118.7</v>
      </c>
      <c r="AB43" s="4">
        <f t="shared" si="8"/>
        <v>0</v>
      </c>
      <c r="AC43" s="4">
        <f t="shared" si="9"/>
        <v>1.1870261162594777</v>
      </c>
      <c r="AD43" s="4">
        <f t="shared" si="17"/>
        <v>0</v>
      </c>
      <c r="AE43" s="4">
        <f t="shared" si="10"/>
        <v>5</v>
      </c>
      <c r="AF43" s="4">
        <f t="shared" si="11"/>
        <v>0</v>
      </c>
      <c r="AG43" s="4">
        <f t="shared" si="12"/>
        <v>1.1299999999999999</v>
      </c>
      <c r="AH43" s="4">
        <f t="shared" si="13"/>
        <v>0</v>
      </c>
      <c r="AI43" s="4">
        <f t="shared" si="14"/>
        <v>1.96</v>
      </c>
      <c r="AJ43" s="4">
        <f t="shared" si="15"/>
        <v>0</v>
      </c>
      <c r="AK43" s="4">
        <v>1</v>
      </c>
    </row>
    <row r="44" spans="1:37" x14ac:dyDescent="0.2">
      <c r="A44" s="4">
        <v>0</v>
      </c>
      <c r="B44" s="4">
        <v>0</v>
      </c>
      <c r="C44" s="4">
        <v>0</v>
      </c>
      <c r="D44" s="4">
        <v>1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1</v>
      </c>
      <c r="P44" s="4">
        <v>0</v>
      </c>
      <c r="Q44" s="4">
        <v>0</v>
      </c>
      <c r="R44" s="4">
        <v>0</v>
      </c>
      <c r="S44" s="4">
        <f t="shared" si="0"/>
        <v>112.6</v>
      </c>
      <c r="T44" s="4">
        <f t="shared" si="1"/>
        <v>0</v>
      </c>
      <c r="U44" s="4">
        <f t="shared" si="2"/>
        <v>60.5</v>
      </c>
      <c r="V44" s="4">
        <f t="shared" si="3"/>
        <v>0</v>
      </c>
      <c r="W44" s="4">
        <f t="shared" si="4"/>
        <v>0</v>
      </c>
      <c r="X44" s="4">
        <f t="shared" si="5"/>
        <v>1.8611570247933884</v>
      </c>
      <c r="Y44" s="4">
        <f t="shared" si="6"/>
        <v>140.9</v>
      </c>
      <c r="Z44" s="4">
        <f t="shared" si="16"/>
        <v>0</v>
      </c>
      <c r="AA44" s="4">
        <f t="shared" si="7"/>
        <v>47.9</v>
      </c>
      <c r="AB44" s="4">
        <f t="shared" si="8"/>
        <v>0</v>
      </c>
      <c r="AC44" s="4">
        <f t="shared" si="9"/>
        <v>2.9415448851774531</v>
      </c>
      <c r="AD44" s="4">
        <f t="shared" si="17"/>
        <v>0</v>
      </c>
      <c r="AE44" s="4">
        <f t="shared" si="10"/>
        <v>5</v>
      </c>
      <c r="AF44" s="4">
        <f t="shared" si="11"/>
        <v>0</v>
      </c>
      <c r="AG44" s="4">
        <f t="shared" si="12"/>
        <v>1.1299999999999999</v>
      </c>
      <c r="AH44" s="4">
        <f t="shared" si="13"/>
        <v>0</v>
      </c>
      <c r="AI44" s="4">
        <f t="shared" si="14"/>
        <v>1.54</v>
      </c>
      <c r="AJ44" s="4">
        <f t="shared" si="15"/>
        <v>0</v>
      </c>
      <c r="AK44" s="4">
        <v>0</v>
      </c>
    </row>
    <row r="45" spans="1:37" x14ac:dyDescent="0.2">
      <c r="A45" s="4">
        <v>0</v>
      </c>
      <c r="B45" s="4">
        <f t="shared" ref="B45:B51" si="18">1/7</f>
        <v>0.14285714285714285</v>
      </c>
      <c r="C45" s="4">
        <v>0</v>
      </c>
      <c r="D45" s="4">
        <v>0</v>
      </c>
      <c r="E45" s="4">
        <f t="shared" ref="E45:H51" si="19">1/7</f>
        <v>0.14285714285714285</v>
      </c>
      <c r="F45" s="4">
        <f t="shared" si="19"/>
        <v>0.14285714285714285</v>
      </c>
      <c r="G45" s="4">
        <f t="shared" si="19"/>
        <v>0.14285714285714285</v>
      </c>
      <c r="H45" s="4">
        <f t="shared" si="19"/>
        <v>0.14285714285714285</v>
      </c>
      <c r="I45" s="4">
        <v>0</v>
      </c>
      <c r="J45" s="4">
        <f t="shared" ref="J45:K49" si="20">1/7</f>
        <v>0.14285714285714285</v>
      </c>
      <c r="K45" s="4">
        <f t="shared" si="20"/>
        <v>0.14285714285714285</v>
      </c>
      <c r="L45" s="4">
        <v>0</v>
      </c>
      <c r="M45" s="4">
        <v>0</v>
      </c>
      <c r="N45" s="4">
        <v>0</v>
      </c>
      <c r="O45" s="4">
        <f>1/3</f>
        <v>0.33333333333333331</v>
      </c>
      <c r="P45" s="4">
        <f>1/3</f>
        <v>0.33333333333333331</v>
      </c>
      <c r="Q45" s="4">
        <v>0</v>
      </c>
      <c r="R45" s="4">
        <f>1/3</f>
        <v>0.33333333333333331</v>
      </c>
      <c r="S45" s="4">
        <f t="shared" si="0"/>
        <v>106.80000000000001</v>
      </c>
      <c r="T45" s="4">
        <f t="shared" si="1"/>
        <v>4.5052370250536058E-2</v>
      </c>
      <c r="U45" s="4">
        <f t="shared" si="2"/>
        <v>67.166666666666657</v>
      </c>
      <c r="V45" s="4">
        <f t="shared" si="3"/>
        <v>7.2514338442692075E-2</v>
      </c>
      <c r="W45" s="4">
        <f t="shared" si="4"/>
        <v>8.5370049460994676E-2</v>
      </c>
      <c r="X45" s="4">
        <f t="shared" si="5"/>
        <v>1.5900744416873454</v>
      </c>
      <c r="Y45" s="4">
        <f t="shared" si="6"/>
        <v>152.87142857142859</v>
      </c>
      <c r="Z45" s="4">
        <f t="shared" si="16"/>
        <v>5.7175492483207226E-2</v>
      </c>
      <c r="AA45" s="4">
        <f t="shared" si="7"/>
        <v>85.86666666666666</v>
      </c>
      <c r="AB45" s="4">
        <f t="shared" si="8"/>
        <v>0.33925861924017908</v>
      </c>
      <c r="AC45" s="4">
        <f t="shared" si="9"/>
        <v>1.7803349600709852</v>
      </c>
      <c r="AD45" s="4">
        <f t="shared" si="17"/>
        <v>0.3440427991826745</v>
      </c>
      <c r="AE45" s="4">
        <f t="shared" si="10"/>
        <v>8.7142857142857153</v>
      </c>
      <c r="AF45" s="4">
        <f t="shared" si="11"/>
        <v>0.3665685209016048</v>
      </c>
      <c r="AG45" s="4">
        <f t="shared" si="12"/>
        <v>1.1828571428571428</v>
      </c>
      <c r="AH45" s="4">
        <f t="shared" si="13"/>
        <v>3.9060293789362842E-2</v>
      </c>
      <c r="AI45" s="4">
        <f t="shared" si="14"/>
        <v>1.6099999999999999</v>
      </c>
      <c r="AJ45" s="4">
        <f t="shared" si="15"/>
        <v>0.16268075594669307</v>
      </c>
      <c r="AK45" s="4">
        <v>1</v>
      </c>
    </row>
    <row r="46" spans="1:37" x14ac:dyDescent="0.2">
      <c r="A46" s="4">
        <v>0</v>
      </c>
      <c r="B46" s="4">
        <f t="shared" si="18"/>
        <v>0.14285714285714285</v>
      </c>
      <c r="C46" s="4">
        <v>0</v>
      </c>
      <c r="D46" s="4">
        <v>0</v>
      </c>
      <c r="E46" s="4">
        <f t="shared" si="19"/>
        <v>0.14285714285714285</v>
      </c>
      <c r="F46" s="4">
        <f t="shared" si="19"/>
        <v>0.14285714285714285</v>
      </c>
      <c r="G46" s="4">
        <f t="shared" si="19"/>
        <v>0.14285714285714285</v>
      </c>
      <c r="H46" s="4">
        <f t="shared" si="19"/>
        <v>0.14285714285714285</v>
      </c>
      <c r="I46" s="4">
        <v>0</v>
      </c>
      <c r="J46" s="4">
        <f t="shared" si="20"/>
        <v>0.14285714285714285</v>
      </c>
      <c r="K46" s="4">
        <f t="shared" si="20"/>
        <v>0.14285714285714285</v>
      </c>
      <c r="L46" s="4">
        <v>0</v>
      </c>
      <c r="M46" s="4">
        <v>0</v>
      </c>
      <c r="N46" s="4">
        <v>0</v>
      </c>
      <c r="O46" s="4">
        <v>1</v>
      </c>
      <c r="P46" s="4">
        <v>0</v>
      </c>
      <c r="Q46" s="4">
        <v>0</v>
      </c>
      <c r="R46" s="4">
        <v>0</v>
      </c>
      <c r="S46" s="4">
        <f t="shared" si="0"/>
        <v>106.80000000000001</v>
      </c>
      <c r="T46" s="4">
        <f t="shared" si="1"/>
        <v>4.5052370250536058E-2</v>
      </c>
      <c r="U46" s="4">
        <f t="shared" si="2"/>
        <v>60.5</v>
      </c>
      <c r="V46" s="4">
        <f t="shared" si="3"/>
        <v>0</v>
      </c>
      <c r="W46" s="4">
        <f t="shared" si="4"/>
        <v>4.5052370250536058E-2</v>
      </c>
      <c r="X46" s="4">
        <f t="shared" si="5"/>
        <v>1.7652892561983473</v>
      </c>
      <c r="Y46" s="4">
        <f t="shared" si="6"/>
        <v>152.87142857142859</v>
      </c>
      <c r="Z46" s="4">
        <f t="shared" si="16"/>
        <v>5.7175492483207226E-2</v>
      </c>
      <c r="AA46" s="4">
        <f t="shared" si="7"/>
        <v>47.9</v>
      </c>
      <c r="AB46" s="4">
        <f t="shared" si="8"/>
        <v>0</v>
      </c>
      <c r="AC46" s="4">
        <f t="shared" si="9"/>
        <v>3.1914703250820167</v>
      </c>
      <c r="AD46" s="4">
        <f t="shared" si="17"/>
        <v>5.7175492483207226E-2</v>
      </c>
      <c r="AE46" s="4">
        <f t="shared" si="10"/>
        <v>8.7142857142857153</v>
      </c>
      <c r="AF46" s="4">
        <f t="shared" si="11"/>
        <v>0.3665685209016048</v>
      </c>
      <c r="AG46" s="4">
        <f t="shared" si="12"/>
        <v>1.1828571428571428</v>
      </c>
      <c r="AH46" s="4">
        <f t="shared" si="13"/>
        <v>3.9060293789362842E-2</v>
      </c>
      <c r="AI46" s="4">
        <f t="shared" si="14"/>
        <v>1.54</v>
      </c>
      <c r="AJ46" s="4">
        <f t="shared" si="15"/>
        <v>0</v>
      </c>
      <c r="AK46" s="4">
        <v>1</v>
      </c>
    </row>
    <row r="47" spans="1:37" x14ac:dyDescent="0.2">
      <c r="A47" s="4">
        <v>0</v>
      </c>
      <c r="B47" s="4">
        <f t="shared" si="18"/>
        <v>0.14285714285714285</v>
      </c>
      <c r="C47" s="4">
        <v>0</v>
      </c>
      <c r="D47" s="4">
        <v>0</v>
      </c>
      <c r="E47" s="4">
        <f t="shared" si="19"/>
        <v>0.14285714285714285</v>
      </c>
      <c r="F47" s="4">
        <f t="shared" si="19"/>
        <v>0.14285714285714285</v>
      </c>
      <c r="G47" s="4">
        <f t="shared" si="19"/>
        <v>0.14285714285714285</v>
      </c>
      <c r="H47" s="4">
        <f t="shared" si="19"/>
        <v>0.14285714285714285</v>
      </c>
      <c r="I47" s="4">
        <v>0</v>
      </c>
      <c r="J47" s="4">
        <f t="shared" si="20"/>
        <v>0.14285714285714285</v>
      </c>
      <c r="K47" s="4">
        <f t="shared" si="20"/>
        <v>0.14285714285714285</v>
      </c>
      <c r="L47" s="4">
        <v>0</v>
      </c>
      <c r="M47" s="4">
        <v>0</v>
      </c>
      <c r="N47" s="4">
        <v>0</v>
      </c>
      <c r="O47" s="4">
        <v>0.25</v>
      </c>
      <c r="P47" s="4">
        <v>0.25</v>
      </c>
      <c r="Q47" s="4">
        <v>0.25</v>
      </c>
      <c r="R47" s="4">
        <v>0.25</v>
      </c>
      <c r="S47" s="4">
        <f t="shared" si="0"/>
        <v>106.80000000000001</v>
      </c>
      <c r="T47" s="4">
        <f t="shared" si="1"/>
        <v>4.5052370250536058E-2</v>
      </c>
      <c r="U47" s="4">
        <f t="shared" si="2"/>
        <v>68.125</v>
      </c>
      <c r="V47" s="4">
        <f t="shared" si="3"/>
        <v>6.6537483906307329E-2</v>
      </c>
      <c r="W47" s="4">
        <f t="shared" si="4"/>
        <v>8.0355166789531918E-2</v>
      </c>
      <c r="X47" s="4">
        <f t="shared" si="5"/>
        <v>1.5677064220183488</v>
      </c>
      <c r="Y47" s="4">
        <f t="shared" si="6"/>
        <v>152.87142857142859</v>
      </c>
      <c r="Z47" s="4">
        <f t="shared" si="16"/>
        <v>5.7175492483207226E-2</v>
      </c>
      <c r="AA47" s="4">
        <f t="shared" si="7"/>
        <v>108.89999999999999</v>
      </c>
      <c r="AB47" s="4">
        <f t="shared" si="8"/>
        <v>0.43344704696418507</v>
      </c>
      <c r="AC47" s="4">
        <f t="shared" si="9"/>
        <v>1.4037780401416768</v>
      </c>
      <c r="AD47" s="4">
        <f t="shared" si="17"/>
        <v>0.43720176058962723</v>
      </c>
      <c r="AE47" s="4">
        <f t="shared" si="10"/>
        <v>8.7142857142857153</v>
      </c>
      <c r="AF47" s="4">
        <f t="shared" si="11"/>
        <v>0.3665685209016048</v>
      </c>
      <c r="AG47" s="4">
        <f t="shared" si="12"/>
        <v>1.1828571428571428</v>
      </c>
      <c r="AH47" s="4">
        <f t="shared" si="13"/>
        <v>3.9060293789362842E-2</v>
      </c>
      <c r="AI47" s="4">
        <f t="shared" si="14"/>
        <v>1.5325</v>
      </c>
      <c r="AJ47" s="4">
        <f t="shared" si="15"/>
        <v>0.1719864605951606</v>
      </c>
      <c r="AK47" s="4">
        <v>1</v>
      </c>
    </row>
    <row r="48" spans="1:37" x14ac:dyDescent="0.2">
      <c r="A48" s="4">
        <v>0</v>
      </c>
      <c r="B48" s="4">
        <f t="shared" si="18"/>
        <v>0.14285714285714285</v>
      </c>
      <c r="C48" s="4">
        <v>0</v>
      </c>
      <c r="D48" s="4">
        <v>0</v>
      </c>
      <c r="E48" s="4">
        <f t="shared" si="19"/>
        <v>0.14285714285714285</v>
      </c>
      <c r="F48" s="4">
        <f t="shared" si="19"/>
        <v>0.14285714285714285</v>
      </c>
      <c r="G48" s="4">
        <f t="shared" si="19"/>
        <v>0.14285714285714285</v>
      </c>
      <c r="H48" s="4">
        <f t="shared" si="19"/>
        <v>0.14285714285714285</v>
      </c>
      <c r="I48" s="4">
        <v>0</v>
      </c>
      <c r="J48" s="4">
        <f t="shared" si="20"/>
        <v>0.14285714285714285</v>
      </c>
      <c r="K48" s="4">
        <f t="shared" si="20"/>
        <v>0.14285714285714285</v>
      </c>
      <c r="L48" s="4">
        <v>0</v>
      </c>
      <c r="M48" s="4">
        <v>0</v>
      </c>
      <c r="N48" s="4">
        <v>0</v>
      </c>
      <c r="O48" s="4">
        <v>0.5</v>
      </c>
      <c r="P48" s="4">
        <v>0.5</v>
      </c>
      <c r="Q48" s="4">
        <v>0</v>
      </c>
      <c r="R48" s="4">
        <v>0</v>
      </c>
      <c r="S48" s="4">
        <f t="shared" si="0"/>
        <v>106.80000000000001</v>
      </c>
      <c r="T48" s="4">
        <f t="shared" si="1"/>
        <v>4.5052370250536058E-2</v>
      </c>
      <c r="U48" s="4">
        <f t="shared" si="2"/>
        <v>66.25</v>
      </c>
      <c r="V48" s="4">
        <f t="shared" si="3"/>
        <v>8.679245283018866E-2</v>
      </c>
      <c r="W48" s="4">
        <f t="shared" si="4"/>
        <v>9.7788782247617292E-2</v>
      </c>
      <c r="X48" s="4">
        <f t="shared" si="5"/>
        <v>1.6120754716981134</v>
      </c>
      <c r="Y48" s="4">
        <f t="shared" si="6"/>
        <v>152.87142857142859</v>
      </c>
      <c r="Z48" s="4">
        <f t="shared" si="16"/>
        <v>5.7175492483207226E-2</v>
      </c>
      <c r="AA48" s="4">
        <f t="shared" si="7"/>
        <v>69.45</v>
      </c>
      <c r="AB48" s="4">
        <f t="shared" si="8"/>
        <v>0.3102951763858891</v>
      </c>
      <c r="AC48" s="4">
        <f t="shared" si="9"/>
        <v>2.2011724776303612</v>
      </c>
      <c r="AD48" s="4">
        <f t="shared" si="17"/>
        <v>0.31551883213058346</v>
      </c>
      <c r="AE48" s="4">
        <f t="shared" si="10"/>
        <v>8.7142857142857153</v>
      </c>
      <c r="AF48" s="4">
        <f t="shared" si="11"/>
        <v>0.3665685209016048</v>
      </c>
      <c r="AG48" s="4">
        <f t="shared" si="12"/>
        <v>1.1828571428571428</v>
      </c>
      <c r="AH48" s="4">
        <f t="shared" si="13"/>
        <v>3.9060293789362842E-2</v>
      </c>
      <c r="AI48" s="4">
        <f t="shared" si="14"/>
        <v>1.4350000000000001</v>
      </c>
      <c r="AJ48" s="4">
        <f t="shared" si="15"/>
        <v>7.3170731707317083E-2</v>
      </c>
      <c r="AK48" s="4">
        <v>1</v>
      </c>
    </row>
    <row r="49" spans="1:37" x14ac:dyDescent="0.2">
      <c r="A49" s="4">
        <v>0</v>
      </c>
      <c r="B49" s="4">
        <f t="shared" si="18"/>
        <v>0.14285714285714285</v>
      </c>
      <c r="C49" s="4">
        <v>0</v>
      </c>
      <c r="D49" s="4">
        <v>0</v>
      </c>
      <c r="E49" s="4">
        <f t="shared" si="19"/>
        <v>0.14285714285714285</v>
      </c>
      <c r="F49" s="4">
        <f t="shared" si="19"/>
        <v>0.14285714285714285</v>
      </c>
      <c r="G49" s="4">
        <f t="shared" si="19"/>
        <v>0.14285714285714285</v>
      </c>
      <c r="H49" s="4">
        <f t="shared" si="19"/>
        <v>0.14285714285714285</v>
      </c>
      <c r="I49" s="4">
        <v>0</v>
      </c>
      <c r="J49" s="4">
        <f t="shared" si="20"/>
        <v>0.14285714285714285</v>
      </c>
      <c r="K49" s="4">
        <f t="shared" si="20"/>
        <v>0.14285714285714285</v>
      </c>
      <c r="L49" s="4">
        <v>0</v>
      </c>
      <c r="M49" s="4">
        <v>0</v>
      </c>
      <c r="N49" s="4">
        <v>0</v>
      </c>
      <c r="O49" s="4">
        <v>0</v>
      </c>
      <c r="P49" s="4">
        <v>1</v>
      </c>
      <c r="Q49" s="4">
        <v>0</v>
      </c>
      <c r="R49" s="4">
        <v>0</v>
      </c>
      <c r="S49" s="4">
        <f t="shared" si="0"/>
        <v>106.80000000000001</v>
      </c>
      <c r="T49" s="4">
        <f t="shared" si="1"/>
        <v>4.5052370250536058E-2</v>
      </c>
      <c r="U49" s="4">
        <f t="shared" si="2"/>
        <v>72</v>
      </c>
      <c r="V49" s="4">
        <f t="shared" si="3"/>
        <v>0</v>
      </c>
      <c r="W49" s="4">
        <f t="shared" si="4"/>
        <v>4.5052370250536058E-2</v>
      </c>
      <c r="X49" s="4">
        <f t="shared" si="5"/>
        <v>1.4833333333333334</v>
      </c>
      <c r="Y49" s="4">
        <f t="shared" si="6"/>
        <v>152.87142857142859</v>
      </c>
      <c r="Z49" s="4">
        <f t="shared" si="16"/>
        <v>5.7175492483207226E-2</v>
      </c>
      <c r="AA49" s="4">
        <f t="shared" si="7"/>
        <v>91</v>
      </c>
      <c r="AB49" s="4">
        <f t="shared" si="8"/>
        <v>0</v>
      </c>
      <c r="AC49" s="4">
        <f t="shared" si="9"/>
        <v>1.6799058084772374</v>
      </c>
      <c r="AD49" s="4">
        <f t="shared" si="17"/>
        <v>5.7175492483207226E-2</v>
      </c>
      <c r="AE49" s="4">
        <f t="shared" si="10"/>
        <v>8.7142857142857153</v>
      </c>
      <c r="AF49" s="4">
        <f t="shared" si="11"/>
        <v>0.3665685209016048</v>
      </c>
      <c r="AG49" s="4">
        <f t="shared" si="12"/>
        <v>1.1828571428571428</v>
      </c>
      <c r="AH49" s="4">
        <f t="shared" si="13"/>
        <v>3.9060293789362842E-2</v>
      </c>
      <c r="AI49" s="4">
        <f t="shared" si="14"/>
        <v>1.33</v>
      </c>
      <c r="AJ49" s="4">
        <f t="shared" si="15"/>
        <v>0</v>
      </c>
      <c r="AK49" s="4">
        <v>1</v>
      </c>
    </row>
    <row r="50" spans="1:37" x14ac:dyDescent="0.2">
      <c r="A50" s="4">
        <v>0</v>
      </c>
      <c r="B50" s="4">
        <f t="shared" si="18"/>
        <v>0.14285714285714285</v>
      </c>
      <c r="C50" s="4">
        <f>1/7</f>
        <v>0.14285714285714285</v>
      </c>
      <c r="D50" s="4">
        <f>1/7</f>
        <v>0.14285714285714285</v>
      </c>
      <c r="E50" s="4">
        <f t="shared" si="19"/>
        <v>0.14285714285714285</v>
      </c>
      <c r="F50" s="4">
        <f t="shared" si="19"/>
        <v>0.14285714285714285</v>
      </c>
      <c r="G50" s="4">
        <f t="shared" si="19"/>
        <v>0.14285714285714285</v>
      </c>
      <c r="H50" s="4">
        <f t="shared" si="19"/>
        <v>0.14285714285714285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f>1/3</f>
        <v>0.33333333333333331</v>
      </c>
      <c r="Q50" s="4">
        <f>1/3</f>
        <v>0.33333333333333331</v>
      </c>
      <c r="R50" s="4">
        <f>1/3</f>
        <v>0.33333333333333331</v>
      </c>
      <c r="S50" s="4">
        <f t="shared" si="0"/>
        <v>110.04285714285716</v>
      </c>
      <c r="T50" s="4">
        <f t="shared" si="1"/>
        <v>3.9675964162137228E-2</v>
      </c>
      <c r="U50" s="4">
        <f t="shared" si="2"/>
        <v>70.666666666666657</v>
      </c>
      <c r="V50" s="4">
        <f t="shared" si="3"/>
        <v>1.7649327296103502E-2</v>
      </c>
      <c r="W50" s="4">
        <f t="shared" si="4"/>
        <v>4.3424427298470868E-2</v>
      </c>
      <c r="X50" s="4">
        <f t="shared" si="5"/>
        <v>1.5572102425876015</v>
      </c>
      <c r="Y50" s="4">
        <f t="shared" si="6"/>
        <v>146.24285714285716</v>
      </c>
      <c r="Z50" s="4">
        <f t="shared" si="16"/>
        <v>4.4483205147508934E-2</v>
      </c>
      <c r="AA50" s="4">
        <f t="shared" si="7"/>
        <v>129.23333333333332</v>
      </c>
      <c r="AB50" s="4">
        <f t="shared" si="8"/>
        <v>0.28081112586916562</v>
      </c>
      <c r="AC50" s="4">
        <f t="shared" si="9"/>
        <v>1.1316187037105276</v>
      </c>
      <c r="AD50" s="4">
        <f t="shared" si="17"/>
        <v>0.28431258141718552</v>
      </c>
      <c r="AE50" s="4">
        <f t="shared" si="10"/>
        <v>6.4285714285714306</v>
      </c>
      <c r="AF50" s="4">
        <f t="shared" si="11"/>
        <v>0.37973349979189014</v>
      </c>
      <c r="AG50" s="4">
        <f t="shared" si="12"/>
        <v>1.1514285714285715</v>
      </c>
      <c r="AH50" s="4">
        <f t="shared" si="13"/>
        <v>3.1631634699707041E-2</v>
      </c>
      <c r="AI50" s="4">
        <f t="shared" si="14"/>
        <v>1.53</v>
      </c>
      <c r="AJ50" s="4">
        <f t="shared" si="15"/>
        <v>0.19889051051899262</v>
      </c>
      <c r="AK50" s="4">
        <v>1</v>
      </c>
    </row>
    <row r="51" spans="1:37" x14ac:dyDescent="0.2">
      <c r="A51" s="4">
        <v>0</v>
      </c>
      <c r="B51" s="4">
        <f t="shared" si="18"/>
        <v>0.14285714285714285</v>
      </c>
      <c r="C51" s="4">
        <f>1/7</f>
        <v>0.14285714285714285</v>
      </c>
      <c r="D51" s="4">
        <f>1/7</f>
        <v>0.14285714285714285</v>
      </c>
      <c r="E51" s="4">
        <f t="shared" si="19"/>
        <v>0.14285714285714285</v>
      </c>
      <c r="F51" s="4">
        <f t="shared" si="19"/>
        <v>0.14285714285714285</v>
      </c>
      <c r="G51" s="4">
        <f t="shared" si="19"/>
        <v>0.14285714285714285</v>
      </c>
      <c r="H51" s="4">
        <f t="shared" si="19"/>
        <v>0.14285714285714285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0.5</v>
      </c>
      <c r="Q51" s="4">
        <v>0.5</v>
      </c>
      <c r="R51" s="4">
        <v>0</v>
      </c>
      <c r="S51" s="4">
        <f t="shared" si="0"/>
        <v>110.04285714285716</v>
      </c>
      <c r="T51" s="4">
        <f t="shared" si="1"/>
        <v>3.9675964162137228E-2</v>
      </c>
      <c r="U51" s="4">
        <f t="shared" si="2"/>
        <v>71.5</v>
      </c>
      <c r="V51" s="4">
        <f t="shared" si="3"/>
        <v>6.9930069930070338E-3</v>
      </c>
      <c r="W51" s="4">
        <f t="shared" si="4"/>
        <v>4.0287520139609519E-2</v>
      </c>
      <c r="X51" s="4">
        <f t="shared" si="5"/>
        <v>1.5390609390609393</v>
      </c>
      <c r="Y51" s="4">
        <f t="shared" si="6"/>
        <v>146.24285714285716</v>
      </c>
      <c r="Z51" s="4">
        <f t="shared" si="16"/>
        <v>4.4483205147508934E-2</v>
      </c>
      <c r="AA51" s="4">
        <f t="shared" si="7"/>
        <v>134.5</v>
      </c>
      <c r="AB51" s="4">
        <f t="shared" si="8"/>
        <v>0.32342007434944242</v>
      </c>
      <c r="AC51" s="4">
        <f t="shared" si="9"/>
        <v>1.0873074880509825</v>
      </c>
      <c r="AD51" s="4">
        <f t="shared" si="17"/>
        <v>0.32646485267543612</v>
      </c>
      <c r="AE51" s="4">
        <f t="shared" si="10"/>
        <v>6.4285714285714306</v>
      </c>
      <c r="AF51" s="4">
        <f t="shared" si="11"/>
        <v>0.37973349979189014</v>
      </c>
      <c r="AG51" s="4">
        <f t="shared" si="12"/>
        <v>1.1514285714285715</v>
      </c>
      <c r="AH51" s="4">
        <f t="shared" si="13"/>
        <v>3.1631634699707041E-2</v>
      </c>
      <c r="AI51" s="4">
        <f t="shared" si="14"/>
        <v>1.3149999999999999</v>
      </c>
      <c r="AJ51" s="4">
        <f t="shared" si="15"/>
        <v>1.1406844106463809E-2</v>
      </c>
      <c r="AK51" s="4">
        <v>1</v>
      </c>
    </row>
    <row r="52" spans="1:37" x14ac:dyDescent="0.2">
      <c r="A52" s="4">
        <v>0</v>
      </c>
      <c r="B52" s="4">
        <f>1/6</f>
        <v>0.16666666666666666</v>
      </c>
      <c r="C52" s="4">
        <v>0</v>
      </c>
      <c r="D52" s="4">
        <v>0</v>
      </c>
      <c r="E52" s="4">
        <f t="shared" ref="E52:H56" si="21">1/6</f>
        <v>0.16666666666666666</v>
      </c>
      <c r="F52" s="4">
        <f t="shared" si="21"/>
        <v>0.16666666666666666</v>
      </c>
      <c r="G52" s="4">
        <f t="shared" si="21"/>
        <v>0.16666666666666666</v>
      </c>
      <c r="H52" s="4">
        <f t="shared" si="21"/>
        <v>0.16666666666666666</v>
      </c>
      <c r="I52" s="4">
        <v>0</v>
      </c>
      <c r="J52" s="4">
        <f>1/6</f>
        <v>0.16666666666666666</v>
      </c>
      <c r="K52" s="4">
        <v>0</v>
      </c>
      <c r="L52" s="4">
        <v>0</v>
      </c>
      <c r="M52" s="4">
        <v>0</v>
      </c>
      <c r="N52" s="4">
        <v>0</v>
      </c>
      <c r="O52" s="4">
        <f>1/3</f>
        <v>0.33333333333333331</v>
      </c>
      <c r="P52" s="4">
        <f>1/3</f>
        <v>0.33333333333333331</v>
      </c>
      <c r="Q52" s="4">
        <v>0</v>
      </c>
      <c r="R52" s="4">
        <f>1/3</f>
        <v>0.33333333333333331</v>
      </c>
      <c r="S52" s="4">
        <f t="shared" si="0"/>
        <v>107.68333333333335</v>
      </c>
      <c r="T52" s="4">
        <f t="shared" si="1"/>
        <v>4.3107769563810863E-2</v>
      </c>
      <c r="U52" s="4">
        <f t="shared" si="2"/>
        <v>67.166666666666657</v>
      </c>
      <c r="V52" s="4">
        <f t="shared" si="3"/>
        <v>7.2514338442692075E-2</v>
      </c>
      <c r="W52" s="4">
        <f t="shared" si="4"/>
        <v>8.4359996897510073E-2</v>
      </c>
      <c r="X52" s="4">
        <f t="shared" si="5"/>
        <v>1.6032258064516134</v>
      </c>
      <c r="Y52" s="4">
        <f t="shared" si="6"/>
        <v>150.8666666666667</v>
      </c>
      <c r="Z52" s="4">
        <f t="shared" si="16"/>
        <v>5.1767334142668951E-2</v>
      </c>
      <c r="AA52" s="4">
        <f t="shared" si="7"/>
        <v>85.86666666666666</v>
      </c>
      <c r="AB52" s="4">
        <f t="shared" si="8"/>
        <v>0.33925861924017908</v>
      </c>
      <c r="AC52" s="4">
        <f t="shared" si="9"/>
        <v>1.7569875776397521</v>
      </c>
      <c r="AD52" s="4">
        <f t="shared" si="17"/>
        <v>0.3431854711566204</v>
      </c>
      <c r="AE52" s="4">
        <f t="shared" si="10"/>
        <v>8.0000000000000018</v>
      </c>
      <c r="AF52" s="4">
        <f t="shared" si="11"/>
        <v>0.36084391824351603</v>
      </c>
      <c r="AG52" s="4">
        <f t="shared" si="12"/>
        <v>1.1733333333333333</v>
      </c>
      <c r="AH52" s="4">
        <f t="shared" si="13"/>
        <v>3.6712636316250234E-2</v>
      </c>
      <c r="AI52" s="4">
        <f t="shared" si="14"/>
        <v>1.6099999999999999</v>
      </c>
      <c r="AJ52" s="4">
        <f t="shared" si="15"/>
        <v>0.16268075594669307</v>
      </c>
      <c r="AK52" s="4">
        <v>1</v>
      </c>
    </row>
    <row r="53" spans="1:37" x14ac:dyDescent="0.2">
      <c r="A53" s="4">
        <v>0</v>
      </c>
      <c r="B53" s="4">
        <f>1/6</f>
        <v>0.16666666666666666</v>
      </c>
      <c r="C53" s="4">
        <v>0</v>
      </c>
      <c r="D53" s="4">
        <v>0</v>
      </c>
      <c r="E53" s="4">
        <f t="shared" si="21"/>
        <v>0.16666666666666666</v>
      </c>
      <c r="F53" s="4">
        <f t="shared" si="21"/>
        <v>0.16666666666666666</v>
      </c>
      <c r="G53" s="4">
        <f t="shared" si="21"/>
        <v>0.16666666666666666</v>
      </c>
      <c r="H53" s="4">
        <f t="shared" si="21"/>
        <v>0.16666666666666666</v>
      </c>
      <c r="I53" s="4">
        <v>0</v>
      </c>
      <c r="J53" s="4">
        <f>1/6</f>
        <v>0.16666666666666666</v>
      </c>
      <c r="K53" s="4">
        <v>0</v>
      </c>
      <c r="L53" s="4">
        <v>0</v>
      </c>
      <c r="M53" s="4">
        <v>0</v>
      </c>
      <c r="N53" s="4">
        <v>0</v>
      </c>
      <c r="O53" s="4">
        <v>1</v>
      </c>
      <c r="P53" s="4">
        <v>0</v>
      </c>
      <c r="Q53" s="4">
        <v>0</v>
      </c>
      <c r="R53" s="4">
        <v>0</v>
      </c>
      <c r="S53" s="4">
        <f t="shared" si="0"/>
        <v>107.68333333333335</v>
      </c>
      <c r="T53" s="4">
        <f t="shared" si="1"/>
        <v>4.3107769563810863E-2</v>
      </c>
      <c r="U53" s="4">
        <f t="shared" si="2"/>
        <v>60.5</v>
      </c>
      <c r="V53" s="4">
        <f t="shared" si="3"/>
        <v>0</v>
      </c>
      <c r="W53" s="4">
        <f t="shared" si="4"/>
        <v>4.3107769563810863E-2</v>
      </c>
      <c r="X53" s="4">
        <f t="shared" si="5"/>
        <v>1.7798898071625346</v>
      </c>
      <c r="Y53" s="4">
        <f t="shared" si="6"/>
        <v>150.8666666666667</v>
      </c>
      <c r="Z53" s="4">
        <f t="shared" si="16"/>
        <v>5.1767334142668951E-2</v>
      </c>
      <c r="AA53" s="4">
        <f t="shared" si="7"/>
        <v>47.9</v>
      </c>
      <c r="AB53" s="4">
        <f t="shared" si="8"/>
        <v>0</v>
      </c>
      <c r="AC53" s="4">
        <f t="shared" si="9"/>
        <v>3.1496172581767579</v>
      </c>
      <c r="AD53" s="4">
        <f t="shared" si="17"/>
        <v>5.1767334142668951E-2</v>
      </c>
      <c r="AE53" s="4">
        <f t="shared" si="10"/>
        <v>8.0000000000000018</v>
      </c>
      <c r="AF53" s="4">
        <f t="shared" si="11"/>
        <v>0.36084391824351603</v>
      </c>
      <c r="AG53" s="4">
        <f t="shared" si="12"/>
        <v>1.1733333333333333</v>
      </c>
      <c r="AH53" s="4">
        <f t="shared" si="13"/>
        <v>3.6712636316250234E-2</v>
      </c>
      <c r="AI53" s="4">
        <f t="shared" si="14"/>
        <v>1.54</v>
      </c>
      <c r="AJ53" s="4">
        <f t="shared" si="15"/>
        <v>0</v>
      </c>
      <c r="AK53" s="4">
        <v>0</v>
      </c>
    </row>
    <row r="54" spans="1:37" x14ac:dyDescent="0.2">
      <c r="A54" s="4">
        <v>0</v>
      </c>
      <c r="B54" s="4">
        <f>1/6</f>
        <v>0.16666666666666666</v>
      </c>
      <c r="C54" s="4">
        <v>0</v>
      </c>
      <c r="D54" s="4">
        <v>0</v>
      </c>
      <c r="E54" s="4">
        <f t="shared" si="21"/>
        <v>0.16666666666666666</v>
      </c>
      <c r="F54" s="4">
        <f t="shared" si="21"/>
        <v>0.16666666666666666</v>
      </c>
      <c r="G54" s="4">
        <f t="shared" si="21"/>
        <v>0.16666666666666666</v>
      </c>
      <c r="H54" s="4">
        <f t="shared" si="21"/>
        <v>0.16666666666666666</v>
      </c>
      <c r="I54" s="4">
        <v>0</v>
      </c>
      <c r="J54" s="4">
        <f>1/6</f>
        <v>0.16666666666666666</v>
      </c>
      <c r="K54" s="4">
        <v>0</v>
      </c>
      <c r="L54" s="4">
        <v>0</v>
      </c>
      <c r="M54" s="4">
        <v>0</v>
      </c>
      <c r="N54" s="4">
        <v>0</v>
      </c>
      <c r="O54" s="4">
        <v>0.25</v>
      </c>
      <c r="P54" s="4">
        <v>0.25</v>
      </c>
      <c r="Q54" s="4">
        <v>0.25</v>
      </c>
      <c r="R54" s="4">
        <v>0.25</v>
      </c>
      <c r="S54" s="4">
        <f t="shared" si="0"/>
        <v>107.68333333333335</v>
      </c>
      <c r="T54" s="4">
        <f t="shared" si="1"/>
        <v>4.3107769563810863E-2</v>
      </c>
      <c r="U54" s="4">
        <f t="shared" si="2"/>
        <v>68.125</v>
      </c>
      <c r="V54" s="4">
        <f t="shared" si="3"/>
        <v>6.6537483906307329E-2</v>
      </c>
      <c r="W54" s="4">
        <f t="shared" si="4"/>
        <v>7.9281249746385341E-2</v>
      </c>
      <c r="X54" s="4">
        <f t="shared" si="5"/>
        <v>1.5806727828746181</v>
      </c>
      <c r="Y54" s="4">
        <f t="shared" si="6"/>
        <v>150.8666666666667</v>
      </c>
      <c r="Z54" s="4">
        <f t="shared" si="16"/>
        <v>5.1767334142668951E-2</v>
      </c>
      <c r="AA54" s="4">
        <f t="shared" si="7"/>
        <v>108.89999999999999</v>
      </c>
      <c r="AB54" s="4">
        <f t="shared" si="8"/>
        <v>0.43344704696418507</v>
      </c>
      <c r="AC54" s="4">
        <f t="shared" si="9"/>
        <v>1.3853688399142949</v>
      </c>
      <c r="AD54" s="4">
        <f t="shared" si="17"/>
        <v>0.43652743259297144</v>
      </c>
      <c r="AE54" s="4">
        <f t="shared" si="10"/>
        <v>8.0000000000000018</v>
      </c>
      <c r="AF54" s="4">
        <f t="shared" si="11"/>
        <v>0.36084391824351603</v>
      </c>
      <c r="AG54" s="4">
        <f t="shared" si="12"/>
        <v>1.1733333333333333</v>
      </c>
      <c r="AH54" s="4">
        <f t="shared" si="13"/>
        <v>3.6712636316250234E-2</v>
      </c>
      <c r="AI54" s="4">
        <f t="shared" si="14"/>
        <v>1.5325</v>
      </c>
      <c r="AJ54" s="4">
        <f t="shared" si="15"/>
        <v>0.1719864605951606</v>
      </c>
      <c r="AK54" s="4">
        <v>1</v>
      </c>
    </row>
    <row r="55" spans="1:37" x14ac:dyDescent="0.2">
      <c r="A55" s="4">
        <v>0</v>
      </c>
      <c r="B55" s="4">
        <f>1/6</f>
        <v>0.16666666666666666</v>
      </c>
      <c r="C55" s="4">
        <v>0</v>
      </c>
      <c r="D55" s="4">
        <v>0</v>
      </c>
      <c r="E55" s="4">
        <f t="shared" si="21"/>
        <v>0.16666666666666666</v>
      </c>
      <c r="F55" s="4">
        <f t="shared" si="21"/>
        <v>0.16666666666666666</v>
      </c>
      <c r="G55" s="4">
        <f t="shared" si="21"/>
        <v>0.16666666666666666</v>
      </c>
      <c r="H55" s="4">
        <f t="shared" si="21"/>
        <v>0.16666666666666666</v>
      </c>
      <c r="I55" s="4">
        <v>0</v>
      </c>
      <c r="J55" s="4">
        <f>1/6</f>
        <v>0.16666666666666666</v>
      </c>
      <c r="K55" s="4">
        <v>0</v>
      </c>
      <c r="L55" s="4">
        <v>0</v>
      </c>
      <c r="M55" s="4">
        <v>0</v>
      </c>
      <c r="N55" s="4">
        <v>0</v>
      </c>
      <c r="O55" s="4">
        <v>0.5</v>
      </c>
      <c r="P55" s="4">
        <v>0.5</v>
      </c>
      <c r="Q55" s="4">
        <v>0</v>
      </c>
      <c r="R55" s="4">
        <v>0</v>
      </c>
      <c r="S55" s="4">
        <f t="shared" si="0"/>
        <v>107.68333333333335</v>
      </c>
      <c r="T55" s="4">
        <f t="shared" si="1"/>
        <v>4.3107769563810863E-2</v>
      </c>
      <c r="U55" s="4">
        <f t="shared" si="2"/>
        <v>66.25</v>
      </c>
      <c r="V55" s="4">
        <f t="shared" si="3"/>
        <v>8.679245283018866E-2</v>
      </c>
      <c r="W55" s="4">
        <f t="shared" si="4"/>
        <v>9.6908253854081708E-2</v>
      </c>
      <c r="X55" s="4">
        <f t="shared" si="5"/>
        <v>1.6254088050314468</v>
      </c>
      <c r="Y55" s="4">
        <f t="shared" si="6"/>
        <v>150.8666666666667</v>
      </c>
      <c r="Z55" s="4">
        <f t="shared" si="16"/>
        <v>5.1767334142668951E-2</v>
      </c>
      <c r="AA55" s="4">
        <f t="shared" si="7"/>
        <v>69.45</v>
      </c>
      <c r="AB55" s="4">
        <f t="shared" si="8"/>
        <v>0.3102951763858891</v>
      </c>
      <c r="AC55" s="4">
        <f t="shared" si="9"/>
        <v>2.1723062155027604</v>
      </c>
      <c r="AD55" s="4">
        <f t="shared" si="17"/>
        <v>0.31458377798702331</v>
      </c>
      <c r="AE55" s="4">
        <f t="shared" si="10"/>
        <v>8.0000000000000018</v>
      </c>
      <c r="AF55" s="4">
        <f t="shared" si="11"/>
        <v>0.36084391824351603</v>
      </c>
      <c r="AG55" s="4">
        <f t="shared" si="12"/>
        <v>1.1733333333333333</v>
      </c>
      <c r="AH55" s="4">
        <f t="shared" si="13"/>
        <v>3.6712636316250234E-2</v>
      </c>
      <c r="AI55" s="4">
        <f t="shared" si="14"/>
        <v>1.4350000000000001</v>
      </c>
      <c r="AJ55" s="4">
        <f t="shared" si="15"/>
        <v>7.3170731707317083E-2</v>
      </c>
      <c r="AK55" s="4">
        <v>1</v>
      </c>
    </row>
    <row r="56" spans="1:37" x14ac:dyDescent="0.2">
      <c r="A56" s="4">
        <v>0</v>
      </c>
      <c r="B56" s="4">
        <f>1/6</f>
        <v>0.16666666666666666</v>
      </c>
      <c r="C56" s="4">
        <v>0</v>
      </c>
      <c r="D56" s="4">
        <v>0</v>
      </c>
      <c r="E56" s="4">
        <f t="shared" si="21"/>
        <v>0.16666666666666666</v>
      </c>
      <c r="F56" s="4">
        <f t="shared" si="21"/>
        <v>0.16666666666666666</v>
      </c>
      <c r="G56" s="4">
        <f t="shared" si="21"/>
        <v>0.16666666666666666</v>
      </c>
      <c r="H56" s="4">
        <f t="shared" si="21"/>
        <v>0.16666666666666666</v>
      </c>
      <c r="I56" s="4">
        <v>0</v>
      </c>
      <c r="J56" s="4">
        <f>1/6</f>
        <v>0.16666666666666666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1</v>
      </c>
      <c r="Q56" s="4">
        <v>0</v>
      </c>
      <c r="R56" s="4">
        <v>0</v>
      </c>
      <c r="S56" s="4">
        <f t="shared" si="0"/>
        <v>107.68333333333335</v>
      </c>
      <c r="T56" s="4">
        <f t="shared" si="1"/>
        <v>4.3107769563810863E-2</v>
      </c>
      <c r="U56" s="4">
        <f t="shared" si="2"/>
        <v>72</v>
      </c>
      <c r="V56" s="4">
        <f t="shared" si="3"/>
        <v>0</v>
      </c>
      <c r="W56" s="4">
        <f t="shared" si="4"/>
        <v>4.3107769563810863E-2</v>
      </c>
      <c r="X56" s="4">
        <f t="shared" si="5"/>
        <v>1.4956018518518521</v>
      </c>
      <c r="Y56" s="4">
        <f t="shared" si="6"/>
        <v>150.8666666666667</v>
      </c>
      <c r="Z56" s="4">
        <f t="shared" si="16"/>
        <v>5.1767334142668951E-2</v>
      </c>
      <c r="AA56" s="4">
        <f t="shared" si="7"/>
        <v>91</v>
      </c>
      <c r="AB56" s="4">
        <f t="shared" si="8"/>
        <v>0</v>
      </c>
      <c r="AC56" s="4">
        <f t="shared" si="9"/>
        <v>1.6578754578754582</v>
      </c>
      <c r="AD56" s="4">
        <f t="shared" si="17"/>
        <v>5.1767334142668951E-2</v>
      </c>
      <c r="AE56" s="4">
        <f t="shared" si="10"/>
        <v>8.0000000000000018</v>
      </c>
      <c r="AF56" s="4">
        <f t="shared" si="11"/>
        <v>0.36084391824351603</v>
      </c>
      <c r="AG56" s="4">
        <f t="shared" si="12"/>
        <v>1.1733333333333333</v>
      </c>
      <c r="AH56" s="4">
        <f t="shared" si="13"/>
        <v>3.6712636316250234E-2</v>
      </c>
      <c r="AI56" s="4">
        <f t="shared" si="14"/>
        <v>1.33</v>
      </c>
      <c r="AJ56" s="4">
        <f t="shared" si="15"/>
        <v>0</v>
      </c>
      <c r="AK56" s="4">
        <v>1</v>
      </c>
    </row>
    <row r="57" spans="1:37" x14ac:dyDescent="0.2">
      <c r="A57" s="3">
        <v>0.17499999999999999</v>
      </c>
      <c r="B57" s="3">
        <v>0.17499999999999999</v>
      </c>
      <c r="C57" s="3">
        <v>0</v>
      </c>
      <c r="D57" s="3">
        <v>0</v>
      </c>
      <c r="E57" s="3">
        <v>0</v>
      </c>
      <c r="F57" s="3">
        <v>0.17499999999999999</v>
      </c>
      <c r="G57" s="3">
        <v>0</v>
      </c>
      <c r="H57" s="3">
        <v>0.17499999999999999</v>
      </c>
      <c r="I57" s="3">
        <v>0</v>
      </c>
      <c r="J57" s="3">
        <v>0</v>
      </c>
      <c r="K57" s="3">
        <v>0</v>
      </c>
      <c r="L57" s="3">
        <v>0</v>
      </c>
      <c r="M57" s="3">
        <v>0.3</v>
      </c>
      <c r="N57" s="3">
        <v>0</v>
      </c>
      <c r="O57" s="3">
        <v>0</v>
      </c>
      <c r="P57" s="3">
        <v>1</v>
      </c>
      <c r="Q57" s="3">
        <v>0</v>
      </c>
      <c r="R57" s="3">
        <v>0</v>
      </c>
      <c r="S57" s="4">
        <f t="shared" si="0"/>
        <v>104.99249999999999</v>
      </c>
      <c r="T57" s="4">
        <f t="shared" si="1"/>
        <v>5.795023494318597E-2</v>
      </c>
      <c r="U57" s="4">
        <f t="shared" si="2"/>
        <v>72</v>
      </c>
      <c r="V57" s="4">
        <f t="shared" si="3"/>
        <v>0</v>
      </c>
      <c r="W57" s="4">
        <f t="shared" si="4"/>
        <v>5.795023494318597E-2</v>
      </c>
      <c r="X57" s="4">
        <f t="shared" si="5"/>
        <v>1.4582291666666665</v>
      </c>
      <c r="Y57" s="4">
        <f t="shared" si="6"/>
        <v>145.595</v>
      </c>
      <c r="Z57" s="4">
        <f t="shared" si="16"/>
        <v>0.1971007309871424</v>
      </c>
      <c r="AA57" s="4">
        <f t="shared" si="7"/>
        <v>91</v>
      </c>
      <c r="AB57" s="4">
        <f t="shared" si="8"/>
        <v>0</v>
      </c>
      <c r="AC57" s="4">
        <f t="shared" si="9"/>
        <v>1.5999450549450549</v>
      </c>
      <c r="AD57" s="4">
        <f t="shared" si="17"/>
        <v>0.1971007309871424</v>
      </c>
      <c r="AE57" s="4">
        <f t="shared" si="10"/>
        <v>9</v>
      </c>
      <c r="AF57" s="4">
        <f t="shared" si="11"/>
        <v>0.58425852556155145</v>
      </c>
      <c r="AG57" s="4">
        <f t="shared" si="12"/>
        <v>1.1507499999999999</v>
      </c>
      <c r="AH57" s="4">
        <f t="shared" si="13"/>
        <v>4.3898939958982384E-2</v>
      </c>
      <c r="AI57" s="4">
        <f t="shared" si="14"/>
        <v>1.33</v>
      </c>
      <c r="AJ57" s="4">
        <f t="shared" si="15"/>
        <v>0</v>
      </c>
      <c r="AK57" s="4">
        <v>0</v>
      </c>
    </row>
    <row r="58" spans="1:37" x14ac:dyDescent="0.2">
      <c r="A58" s="4">
        <v>0</v>
      </c>
      <c r="B58" s="4">
        <v>0</v>
      </c>
      <c r="C58" s="4">
        <v>0</v>
      </c>
      <c r="D58" s="4">
        <v>0</v>
      </c>
      <c r="E58" s="4">
        <v>0</v>
      </c>
      <c r="F58" s="4">
        <v>0.2</v>
      </c>
      <c r="G58" s="4">
        <v>0</v>
      </c>
      <c r="H58" s="4">
        <v>0.2</v>
      </c>
      <c r="I58" s="4">
        <v>0</v>
      </c>
      <c r="J58" s="4">
        <v>0.2</v>
      </c>
      <c r="K58" s="4">
        <v>0</v>
      </c>
      <c r="L58" s="4">
        <v>0.2</v>
      </c>
      <c r="M58" s="4">
        <v>0.2</v>
      </c>
      <c r="N58" s="4">
        <v>0</v>
      </c>
      <c r="O58" s="4">
        <v>1</v>
      </c>
      <c r="P58" s="4">
        <v>0</v>
      </c>
      <c r="Q58" s="4">
        <v>0</v>
      </c>
      <c r="R58" s="4">
        <v>0</v>
      </c>
      <c r="S58" s="4">
        <f t="shared" si="0"/>
        <v>102.92000000000002</v>
      </c>
      <c r="T58" s="4">
        <f t="shared" si="1"/>
        <v>3.2934621534987017E-2</v>
      </c>
      <c r="U58" s="4">
        <f t="shared" si="2"/>
        <v>60.5</v>
      </c>
      <c r="V58" s="4">
        <f t="shared" si="3"/>
        <v>0</v>
      </c>
      <c r="W58" s="4">
        <f t="shared" si="4"/>
        <v>3.2934621534987017E-2</v>
      </c>
      <c r="X58" s="4">
        <f t="shared" si="5"/>
        <v>1.7011570247933887</v>
      </c>
      <c r="Y58" s="4">
        <f t="shared" si="6"/>
        <v>162.08000000000001</v>
      </c>
      <c r="Z58" s="4">
        <f t="shared" si="16"/>
        <v>4.8446664304805029E-2</v>
      </c>
      <c r="AA58" s="4">
        <f t="shared" si="7"/>
        <v>47.9</v>
      </c>
      <c r="AB58" s="4">
        <f t="shared" si="8"/>
        <v>0</v>
      </c>
      <c r="AC58" s="4">
        <f t="shared" si="9"/>
        <v>3.3837160751565767</v>
      </c>
      <c r="AD58" s="4">
        <f t="shared" si="17"/>
        <v>4.8446664304805029E-2</v>
      </c>
      <c r="AE58" s="4">
        <f t="shared" si="10"/>
        <v>12</v>
      </c>
      <c r="AF58" s="4">
        <f t="shared" si="11"/>
        <v>0.23570226039551584</v>
      </c>
      <c r="AG58" s="4">
        <f t="shared" si="12"/>
        <v>1.1879999999999999</v>
      </c>
      <c r="AH58" s="4">
        <f t="shared" si="13"/>
        <v>4.238948926604099E-2</v>
      </c>
      <c r="AI58" s="4">
        <f t="shared" si="14"/>
        <v>1.54</v>
      </c>
      <c r="AJ58" s="4">
        <f t="shared" si="15"/>
        <v>0</v>
      </c>
      <c r="AK58" s="4">
        <v>1</v>
      </c>
    </row>
    <row r="59" spans="1:37" x14ac:dyDescent="0.2">
      <c r="A59" s="4">
        <v>0</v>
      </c>
      <c r="B59" s="4">
        <v>0</v>
      </c>
      <c r="C59" s="4">
        <v>0</v>
      </c>
      <c r="D59" s="4">
        <v>0</v>
      </c>
      <c r="E59" s="4">
        <v>0</v>
      </c>
      <c r="F59" s="4">
        <v>0.2</v>
      </c>
      <c r="G59" s="4">
        <v>0.2</v>
      </c>
      <c r="H59" s="4">
        <v>0.2</v>
      </c>
      <c r="I59" s="4">
        <v>0</v>
      </c>
      <c r="J59" s="4">
        <v>0.2</v>
      </c>
      <c r="K59" s="4">
        <v>0</v>
      </c>
      <c r="L59" s="4">
        <v>0.2</v>
      </c>
      <c r="M59" s="4">
        <v>0</v>
      </c>
      <c r="N59" s="4">
        <v>0</v>
      </c>
      <c r="O59" s="4">
        <v>0</v>
      </c>
      <c r="P59" s="4">
        <v>1</v>
      </c>
      <c r="Q59" s="4">
        <v>0</v>
      </c>
      <c r="R59" s="4">
        <v>0</v>
      </c>
      <c r="S59" s="4">
        <f t="shared" si="0"/>
        <v>103.88000000000001</v>
      </c>
      <c r="T59" s="4">
        <f t="shared" si="1"/>
        <v>2.4898210489529778E-2</v>
      </c>
      <c r="U59" s="4">
        <f t="shared" si="2"/>
        <v>72</v>
      </c>
      <c r="V59" s="4">
        <f t="shared" si="3"/>
        <v>0</v>
      </c>
      <c r="W59" s="4">
        <f t="shared" si="4"/>
        <v>2.4898210489529778E-2</v>
      </c>
      <c r="X59" s="4">
        <f t="shared" si="5"/>
        <v>1.4427777777777779</v>
      </c>
      <c r="Y59" s="4">
        <f t="shared" si="6"/>
        <v>157.88000000000002</v>
      </c>
      <c r="Z59" s="4">
        <f t="shared" si="16"/>
        <v>4.0303672897434431E-2</v>
      </c>
      <c r="AA59" s="4">
        <f t="shared" si="7"/>
        <v>91</v>
      </c>
      <c r="AB59" s="4">
        <f t="shared" si="8"/>
        <v>0</v>
      </c>
      <c r="AC59" s="4">
        <f t="shared" si="9"/>
        <v>1.7349450549450551</v>
      </c>
      <c r="AD59" s="4">
        <f t="shared" si="17"/>
        <v>4.0303672897434431E-2</v>
      </c>
      <c r="AE59" s="4">
        <f t="shared" si="10"/>
        <v>10.600000000000001</v>
      </c>
      <c r="AF59" s="4">
        <f t="shared" si="11"/>
        <v>0.20321376630696242</v>
      </c>
      <c r="AG59" s="4">
        <f t="shared" si="12"/>
        <v>1.208</v>
      </c>
      <c r="AH59" s="4">
        <f t="shared" si="13"/>
        <v>2.0545817294686873E-2</v>
      </c>
      <c r="AI59" s="4">
        <f t="shared" si="14"/>
        <v>1.33</v>
      </c>
      <c r="AJ59" s="4">
        <f t="shared" si="15"/>
        <v>0</v>
      </c>
      <c r="AK59" s="4">
        <v>0</v>
      </c>
    </row>
    <row r="60" spans="1:37" x14ac:dyDescent="0.2">
      <c r="A60" s="4">
        <v>0</v>
      </c>
      <c r="B60" s="4">
        <v>0</v>
      </c>
      <c r="C60" s="4">
        <v>0</v>
      </c>
      <c r="D60" s="4">
        <v>0</v>
      </c>
      <c r="E60" s="4">
        <v>0</v>
      </c>
      <c r="F60" s="4">
        <v>0.2</v>
      </c>
      <c r="G60" s="4">
        <v>0</v>
      </c>
      <c r="H60" s="4">
        <v>0.2</v>
      </c>
      <c r="I60" s="4">
        <v>0</v>
      </c>
      <c r="J60" s="4">
        <v>0.2</v>
      </c>
      <c r="K60" s="4">
        <v>0.2</v>
      </c>
      <c r="L60" s="4">
        <v>0.2</v>
      </c>
      <c r="M60" s="4">
        <v>0</v>
      </c>
      <c r="N60" s="4">
        <v>0</v>
      </c>
      <c r="O60" s="4">
        <v>0</v>
      </c>
      <c r="P60" s="4">
        <v>1</v>
      </c>
      <c r="Q60" s="4">
        <v>0</v>
      </c>
      <c r="R60" s="4">
        <v>0</v>
      </c>
      <c r="S60" s="4">
        <f t="shared" si="0"/>
        <v>103.52000000000001</v>
      </c>
      <c r="T60" s="4">
        <f t="shared" si="1"/>
        <v>2.6675510964595403E-2</v>
      </c>
      <c r="U60" s="4">
        <f t="shared" si="2"/>
        <v>72</v>
      </c>
      <c r="V60" s="4">
        <f t="shared" si="3"/>
        <v>0</v>
      </c>
      <c r="W60" s="4">
        <f t="shared" si="4"/>
        <v>2.6675510964595403E-2</v>
      </c>
      <c r="X60" s="4">
        <f t="shared" si="5"/>
        <v>1.4377777777777778</v>
      </c>
      <c r="Y60" s="4">
        <f t="shared" si="6"/>
        <v>160.46</v>
      </c>
      <c r="Z60" s="4">
        <f t="shared" si="16"/>
        <v>3.7792533781871557E-2</v>
      </c>
      <c r="AA60" s="4">
        <f t="shared" si="7"/>
        <v>91</v>
      </c>
      <c r="AB60" s="4">
        <f t="shared" si="8"/>
        <v>0</v>
      </c>
      <c r="AC60" s="4">
        <f t="shared" si="9"/>
        <v>1.7632967032967033</v>
      </c>
      <c r="AD60" s="4">
        <f t="shared" si="17"/>
        <v>3.7792533781871557E-2</v>
      </c>
      <c r="AE60" s="4">
        <f t="shared" si="10"/>
        <v>11.4</v>
      </c>
      <c r="AF60" s="4">
        <f t="shared" si="11"/>
        <v>0.18895315112752648</v>
      </c>
      <c r="AG60" s="4">
        <f t="shared" si="12"/>
        <v>1.216</v>
      </c>
      <c r="AH60" s="4">
        <f t="shared" si="13"/>
        <v>2.2431219896358399E-2</v>
      </c>
      <c r="AI60" s="4">
        <f t="shared" si="14"/>
        <v>1.33</v>
      </c>
      <c r="AJ60" s="4">
        <f t="shared" si="15"/>
        <v>0</v>
      </c>
      <c r="AK60" s="4">
        <v>0</v>
      </c>
    </row>
    <row r="61" spans="1:37" x14ac:dyDescent="0.2">
      <c r="A61" s="4">
        <v>0</v>
      </c>
      <c r="B61" s="4">
        <v>0</v>
      </c>
      <c r="C61" s="4">
        <v>0</v>
      </c>
      <c r="D61" s="4">
        <v>0</v>
      </c>
      <c r="E61" s="4">
        <v>0.2</v>
      </c>
      <c r="F61" s="4">
        <v>0.2</v>
      </c>
      <c r="G61" s="4">
        <v>0.2</v>
      </c>
      <c r="H61" s="4">
        <v>0.2</v>
      </c>
      <c r="I61" s="4">
        <v>0</v>
      </c>
      <c r="J61" s="4">
        <v>0</v>
      </c>
      <c r="K61" s="4">
        <v>0</v>
      </c>
      <c r="L61" s="4">
        <v>0</v>
      </c>
      <c r="M61" s="4">
        <v>0.2</v>
      </c>
      <c r="N61" s="4">
        <v>0</v>
      </c>
      <c r="O61" s="4">
        <v>0</v>
      </c>
      <c r="P61" s="4">
        <v>1</v>
      </c>
      <c r="Q61" s="4">
        <v>0</v>
      </c>
      <c r="R61" s="4">
        <v>0</v>
      </c>
      <c r="S61" s="4">
        <f t="shared" si="0"/>
        <v>105.18</v>
      </c>
      <c r="T61" s="4">
        <f t="shared" si="1"/>
        <v>3.9951461454022133E-2</v>
      </c>
      <c r="U61" s="4">
        <f t="shared" si="2"/>
        <v>72</v>
      </c>
      <c r="V61" s="4">
        <f t="shared" si="3"/>
        <v>0</v>
      </c>
      <c r="W61" s="4">
        <f t="shared" si="4"/>
        <v>3.9951461454022133E-2</v>
      </c>
      <c r="X61" s="4">
        <f t="shared" si="5"/>
        <v>1.4608333333333334</v>
      </c>
      <c r="Y61" s="4">
        <f t="shared" si="6"/>
        <v>155.36000000000001</v>
      </c>
      <c r="Z61" s="4">
        <f t="shared" si="16"/>
        <v>6.2827372668601333E-2</v>
      </c>
      <c r="AA61" s="4">
        <f t="shared" si="7"/>
        <v>91</v>
      </c>
      <c r="AB61" s="4">
        <f t="shared" si="8"/>
        <v>0</v>
      </c>
      <c r="AC61" s="4">
        <f t="shared" si="9"/>
        <v>1.7072527472527474</v>
      </c>
      <c r="AD61" s="4">
        <f t="shared" si="17"/>
        <v>6.2827372668601333E-2</v>
      </c>
      <c r="AE61" s="4">
        <f t="shared" si="10"/>
        <v>9.8000000000000007</v>
      </c>
      <c r="AF61" s="4">
        <f t="shared" si="11"/>
        <v>0.34392448053781055</v>
      </c>
      <c r="AG61" s="4">
        <f t="shared" si="12"/>
        <v>1.1619999999999999</v>
      </c>
      <c r="AH61" s="4">
        <f t="shared" si="13"/>
        <v>3.2837838258758877E-2</v>
      </c>
      <c r="AI61" s="4">
        <f t="shared" si="14"/>
        <v>1.33</v>
      </c>
      <c r="AJ61" s="4">
        <f t="shared" si="15"/>
        <v>0</v>
      </c>
      <c r="AK61" s="4">
        <v>1</v>
      </c>
    </row>
    <row r="62" spans="1:37" x14ac:dyDescent="0.2">
      <c r="A62" s="4">
        <v>0.2</v>
      </c>
      <c r="B62" s="4">
        <v>0</v>
      </c>
      <c r="C62" s="4">
        <v>0</v>
      </c>
      <c r="D62" s="4">
        <v>0</v>
      </c>
      <c r="E62" s="4">
        <v>0.2</v>
      </c>
      <c r="F62" s="4">
        <v>0.2</v>
      </c>
      <c r="G62" s="4">
        <v>0.2</v>
      </c>
      <c r="H62" s="4">
        <v>0.2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1</v>
      </c>
      <c r="Q62" s="4">
        <v>0</v>
      </c>
      <c r="R62" s="4">
        <v>0</v>
      </c>
      <c r="S62" s="4">
        <f t="shared" si="0"/>
        <v>105.86</v>
      </c>
      <c r="T62" s="4">
        <f t="shared" si="1"/>
        <v>3.0496638993358936E-2</v>
      </c>
      <c r="U62" s="4">
        <f t="shared" si="2"/>
        <v>72</v>
      </c>
      <c r="V62" s="4">
        <f t="shared" si="3"/>
        <v>0</v>
      </c>
      <c r="W62" s="4">
        <f t="shared" si="4"/>
        <v>3.0496638993358936E-2</v>
      </c>
      <c r="X62" s="4">
        <f t="shared" si="5"/>
        <v>1.4702777777777778</v>
      </c>
      <c r="Y62" s="4">
        <f t="shared" si="6"/>
        <v>138.54000000000002</v>
      </c>
      <c r="Z62" s="4">
        <f t="shared" si="16"/>
        <v>0.18167830198522303</v>
      </c>
      <c r="AA62" s="4">
        <f t="shared" si="7"/>
        <v>91</v>
      </c>
      <c r="AB62" s="4">
        <f t="shared" si="8"/>
        <v>0</v>
      </c>
      <c r="AC62" s="4">
        <f t="shared" si="9"/>
        <v>1.5224175824175827</v>
      </c>
      <c r="AD62" s="4">
        <f t="shared" si="17"/>
        <v>0.18167830198522303</v>
      </c>
      <c r="AE62" s="4">
        <f t="shared" si="10"/>
        <v>7.2</v>
      </c>
      <c r="AF62" s="4">
        <f t="shared" si="11"/>
        <v>0.3447131568330794</v>
      </c>
      <c r="AG62" s="4">
        <f t="shared" si="12"/>
        <v>1.1859999999999999</v>
      </c>
      <c r="AH62" s="4">
        <f t="shared" si="13"/>
        <v>2.3608768971332194E-2</v>
      </c>
      <c r="AI62" s="4">
        <f t="shared" si="14"/>
        <v>1.33</v>
      </c>
      <c r="AJ62" s="4">
        <f t="shared" si="15"/>
        <v>0</v>
      </c>
      <c r="AK62" s="4">
        <v>1</v>
      </c>
    </row>
    <row r="63" spans="1:37" x14ac:dyDescent="0.2">
      <c r="A63" s="4">
        <v>0</v>
      </c>
      <c r="B63" s="4">
        <v>0</v>
      </c>
      <c r="C63" s="4">
        <v>0</v>
      </c>
      <c r="D63" s="4">
        <v>0</v>
      </c>
      <c r="E63" s="4">
        <v>0.2</v>
      </c>
      <c r="F63" s="4">
        <v>0.2</v>
      </c>
      <c r="G63" s="4">
        <v>0.2</v>
      </c>
      <c r="H63" s="4">
        <v>0.2</v>
      </c>
      <c r="I63" s="4">
        <v>0</v>
      </c>
      <c r="J63" s="4">
        <v>0.2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1</v>
      </c>
      <c r="Q63" s="4">
        <v>0</v>
      </c>
      <c r="R63" s="4">
        <v>0</v>
      </c>
      <c r="S63" s="4">
        <f t="shared" si="0"/>
        <v>106.02000000000001</v>
      </c>
      <c r="T63" s="4">
        <f t="shared" si="1"/>
        <v>2.8698645924522374E-2</v>
      </c>
      <c r="U63" s="4">
        <f t="shared" si="2"/>
        <v>72</v>
      </c>
      <c r="V63" s="4">
        <f t="shared" si="3"/>
        <v>0</v>
      </c>
      <c r="W63" s="4">
        <f t="shared" si="4"/>
        <v>2.8698645924522374E-2</v>
      </c>
      <c r="X63" s="4">
        <f t="shared" si="5"/>
        <v>1.4725000000000001</v>
      </c>
      <c r="Y63" s="4">
        <f t="shared" si="6"/>
        <v>153.26000000000002</v>
      </c>
      <c r="Z63" s="4">
        <f t="shared" si="16"/>
        <v>4.0656944883841355E-2</v>
      </c>
      <c r="AA63" s="4">
        <f t="shared" si="7"/>
        <v>91</v>
      </c>
      <c r="AB63" s="4">
        <f t="shared" si="8"/>
        <v>0</v>
      </c>
      <c r="AC63" s="4">
        <f t="shared" si="9"/>
        <v>1.6841758241758245</v>
      </c>
      <c r="AD63" s="4">
        <f t="shared" si="17"/>
        <v>4.0656944883841355E-2</v>
      </c>
      <c r="AE63" s="4">
        <f t="shared" si="10"/>
        <v>9</v>
      </c>
      <c r="AF63" s="4">
        <f t="shared" si="11"/>
        <v>0.22222222222222221</v>
      </c>
      <c r="AG63" s="4">
        <f t="shared" si="12"/>
        <v>1.1879999999999999</v>
      </c>
      <c r="AH63" s="4">
        <f t="shared" si="13"/>
        <v>2.5752623806024218E-2</v>
      </c>
      <c r="AI63" s="4">
        <f t="shared" si="14"/>
        <v>1.33</v>
      </c>
      <c r="AJ63" s="4">
        <f t="shared" si="15"/>
        <v>0</v>
      </c>
      <c r="AK63" s="4">
        <v>1</v>
      </c>
    </row>
    <row r="64" spans="1:37" x14ac:dyDescent="0.2">
      <c r="A64" s="4">
        <v>0</v>
      </c>
      <c r="B64" s="4">
        <v>0</v>
      </c>
      <c r="C64" s="4">
        <v>0</v>
      </c>
      <c r="D64" s="4">
        <v>0</v>
      </c>
      <c r="E64" s="4">
        <v>0.2</v>
      </c>
      <c r="F64" s="4">
        <v>0.2</v>
      </c>
      <c r="G64" s="4">
        <v>0.2</v>
      </c>
      <c r="H64" s="4">
        <v>0.2</v>
      </c>
      <c r="I64" s="4">
        <v>0</v>
      </c>
      <c r="J64" s="4">
        <v>0</v>
      </c>
      <c r="K64" s="4">
        <v>0.2</v>
      </c>
      <c r="L64" s="4">
        <v>0</v>
      </c>
      <c r="M64" s="4">
        <v>0</v>
      </c>
      <c r="N64" s="4">
        <v>0</v>
      </c>
      <c r="O64" s="4">
        <v>0</v>
      </c>
      <c r="P64" s="4">
        <v>1</v>
      </c>
      <c r="Q64" s="4">
        <v>0</v>
      </c>
      <c r="R64" s="4">
        <v>0</v>
      </c>
      <c r="S64" s="4">
        <f t="shared" si="0"/>
        <v>105.78</v>
      </c>
      <c r="T64" s="4">
        <f t="shared" si="1"/>
        <v>3.1470067342126241E-2</v>
      </c>
      <c r="U64" s="4">
        <f t="shared" si="2"/>
        <v>72</v>
      </c>
      <c r="V64" s="4">
        <f t="shared" si="3"/>
        <v>0</v>
      </c>
      <c r="W64" s="4">
        <f t="shared" si="4"/>
        <v>3.1470067342126241E-2</v>
      </c>
      <c r="X64" s="4">
        <f t="shared" si="5"/>
        <v>1.4691666666666667</v>
      </c>
      <c r="Y64" s="4">
        <f t="shared" si="6"/>
        <v>153.74</v>
      </c>
      <c r="Z64" s="4">
        <f t="shared" si="16"/>
        <v>4.535377638547524E-2</v>
      </c>
      <c r="AA64" s="4">
        <f t="shared" si="7"/>
        <v>91</v>
      </c>
      <c r="AB64" s="4">
        <f t="shared" si="8"/>
        <v>0</v>
      </c>
      <c r="AC64" s="4">
        <f t="shared" si="9"/>
        <v>1.6894505494505496</v>
      </c>
      <c r="AD64" s="4">
        <f t="shared" si="17"/>
        <v>4.535377638547524E-2</v>
      </c>
      <c r="AE64" s="4">
        <f t="shared" si="10"/>
        <v>9.2000000000000011</v>
      </c>
      <c r="AF64" s="4">
        <f t="shared" si="11"/>
        <v>0.25164862832152662</v>
      </c>
      <c r="AG64" s="4">
        <f t="shared" si="12"/>
        <v>1.19</v>
      </c>
      <c r="AH64" s="4">
        <f t="shared" si="13"/>
        <v>2.8123026101985776E-2</v>
      </c>
      <c r="AI64" s="4">
        <f t="shared" si="14"/>
        <v>1.33</v>
      </c>
      <c r="AJ64" s="4">
        <f t="shared" si="15"/>
        <v>0</v>
      </c>
      <c r="AK64" s="4">
        <v>1</v>
      </c>
    </row>
    <row r="65" spans="1:37" x14ac:dyDescent="0.2">
      <c r="A65" s="4">
        <v>0</v>
      </c>
      <c r="B65" s="4">
        <v>0</v>
      </c>
      <c r="C65" s="4">
        <v>0</v>
      </c>
      <c r="D65" s="4">
        <v>0</v>
      </c>
      <c r="E65" s="4">
        <v>0.2</v>
      </c>
      <c r="F65" s="4">
        <v>0.2</v>
      </c>
      <c r="G65" s="4">
        <v>0.2</v>
      </c>
      <c r="H65" s="4">
        <v>0.2</v>
      </c>
      <c r="I65" s="4">
        <v>0</v>
      </c>
      <c r="J65" s="4">
        <v>0</v>
      </c>
      <c r="K65" s="4">
        <v>0</v>
      </c>
      <c r="L65" s="4">
        <v>0.2</v>
      </c>
      <c r="M65" s="4">
        <v>0</v>
      </c>
      <c r="N65" s="4">
        <v>0</v>
      </c>
      <c r="O65" s="4">
        <v>0</v>
      </c>
      <c r="P65" s="4">
        <v>1</v>
      </c>
      <c r="Q65" s="4">
        <v>0</v>
      </c>
      <c r="R65" s="4">
        <v>0</v>
      </c>
      <c r="S65" s="4">
        <f t="shared" si="0"/>
        <v>105.52000000000001</v>
      </c>
      <c r="T65" s="4">
        <f t="shared" si="1"/>
        <v>3.4920200008875031E-2</v>
      </c>
      <c r="U65" s="4">
        <f t="shared" si="2"/>
        <v>72</v>
      </c>
      <c r="V65" s="4">
        <f t="shared" si="3"/>
        <v>0</v>
      </c>
      <c r="W65" s="4">
        <f t="shared" si="4"/>
        <v>3.4920200008875031E-2</v>
      </c>
      <c r="X65" s="4">
        <f t="shared" si="5"/>
        <v>1.4655555555555557</v>
      </c>
      <c r="Y65" s="4">
        <f t="shared" si="6"/>
        <v>154.22000000000003</v>
      </c>
      <c r="Z65" s="4">
        <f t="shared" si="16"/>
        <v>5.0332766444375655E-2</v>
      </c>
      <c r="AA65" s="4">
        <f t="shared" si="7"/>
        <v>91</v>
      </c>
      <c r="AB65" s="4">
        <f t="shared" si="8"/>
        <v>0</v>
      </c>
      <c r="AC65" s="4">
        <f t="shared" si="9"/>
        <v>1.694725274725275</v>
      </c>
      <c r="AD65" s="4">
        <f t="shared" si="17"/>
        <v>5.0332766444375655E-2</v>
      </c>
      <c r="AE65" s="4">
        <f t="shared" si="10"/>
        <v>9.4</v>
      </c>
      <c r="AF65" s="4">
        <f t="shared" si="11"/>
        <v>0.28226593960471486</v>
      </c>
      <c r="AG65" s="4">
        <f t="shared" si="12"/>
        <v>1.19</v>
      </c>
      <c r="AH65" s="4">
        <f t="shared" si="13"/>
        <v>2.8123026101985776E-2</v>
      </c>
      <c r="AI65" s="4">
        <f t="shared" si="14"/>
        <v>1.33</v>
      </c>
      <c r="AJ65" s="4">
        <f t="shared" si="15"/>
        <v>0</v>
      </c>
      <c r="AK65" s="4">
        <v>1</v>
      </c>
    </row>
    <row r="66" spans="1:37" x14ac:dyDescent="0.2">
      <c r="A66" s="4">
        <v>0</v>
      </c>
      <c r="B66" s="4">
        <v>0</v>
      </c>
      <c r="C66" s="4">
        <v>0</v>
      </c>
      <c r="D66" s="4">
        <v>0</v>
      </c>
      <c r="E66" s="4">
        <v>0.2</v>
      </c>
      <c r="F66" s="4">
        <v>0.2</v>
      </c>
      <c r="G66" s="4">
        <v>0.2</v>
      </c>
      <c r="H66" s="4">
        <v>0.2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0.2</v>
      </c>
      <c r="O66" s="4">
        <v>0</v>
      </c>
      <c r="P66" s="4">
        <v>1</v>
      </c>
      <c r="Q66" s="4">
        <v>0</v>
      </c>
      <c r="R66" s="4">
        <v>0</v>
      </c>
      <c r="S66" s="4">
        <f t="shared" ref="S66:S107" si="22">(A66*101.9+B66*116+C66*114.3+D66*112.6+E66*110.9+F66*107.9+G66*103.3+H66*105.3+I66*104+J66*102.7+K66*101.5+L66*100.2+M66*98.5+N66*97.8)/(SUM(A66:N66))</f>
        <v>105.04</v>
      </c>
      <c r="T66" s="4">
        <f t="shared" ref="T66:T107" si="23">SQRT(A66*(1-(101.9/S66))^2+B66*(1-(116/S66))^2+C66*(1-(114.3/S66))^2+D66*(1-(112.6/S66))^2+E66*(1-(110.9/S66))^2+F66*(1-(107.9/S66))^2+G66*(1-(103.3/S66))^2+H66*(1-(105.3/S66))^2+I66*(1-(104/S66))^2+J66*(1-(102.7/S66))^2+K66*(1-(101.5/S66))^2+L66*(1-(100.2/S66))^2+M66*(1-(98.5/S66))^2+N66*(1-(97.8/S66))^2)</f>
        <v>4.2154526576190926E-2</v>
      </c>
      <c r="U66" s="4">
        <f t="shared" ref="U66:U107" si="24">(O66*60.5+P66*72+Q66*71+R66*69)/(SUM(O66:R66))</f>
        <v>72</v>
      </c>
      <c r="V66" s="4">
        <f t="shared" ref="V66:V107" si="25">SQRT(O66*(1-(60.5/U66))^2+P66*(1-(72/U66))^2+Q66*(1-(71/U66))^2+R66*(1-(69/U66))^2)</f>
        <v>0</v>
      </c>
      <c r="W66" s="4">
        <f t="shared" ref="W66:W107" si="26">SQRT(T66^2+V66^2)</f>
        <v>4.2154526576190926E-2</v>
      </c>
      <c r="X66" s="4">
        <f t="shared" ref="X66:X107" si="27">S66/U66</f>
        <v>1.4588888888888889</v>
      </c>
      <c r="Y66" s="4">
        <f t="shared" ref="Y66:Y100" si="28">(A66*88.9+B66*138.9+C66*140.1+D66*140.9+E66*144.2+F66*150.3+G66*152+H66*157.3+I66*158.9+J66*162.5+K66*164.9+L66*167.3+M66*173+N66*175)/(SUM(A66:N66))</f>
        <v>155.76000000000002</v>
      </c>
      <c r="Z66" s="4">
        <f t="shared" ref="Z66:Z97" si="29">SQRT(A66*(1-(88.9/Y66))^2+B66*(1-(138.9/Y66))^2+C66*(1-(140.1/Y66))^2+D66*(1-(140.9/Y66))^2+E66*(1-(144.2/Y66))^2+F66*(1-(150.3/Y66))^2+G66*(1-(152/Y66))^2+H66*(1-(157.3/Y66))^2+I66*(1-(158.9/Y66))^2+J66*(1-(162.5/Y66))^2+K66*(1-(164.9/Y66))^2+L66*(1-(167.3/Y66))^2+M66*(1-(173/Y66))^2+N66*(1-(175/Y66))^2)</f>
        <v>6.734300832572003E-2</v>
      </c>
      <c r="AA66" s="4">
        <f t="shared" ref="AA66:AA101" si="30">(O66*47.9+P66*91+Q66*178+R66*118.7)/(SUM(O66:R66))</f>
        <v>91</v>
      </c>
      <c r="AB66" s="4">
        <f t="shared" ref="AB66:AB101" si="31">SQRT(O66*(1-(47.9/AA66))^2+P66*(1-(91/AA66))^2+Q66*(1-(178/AA66))^2+R66*(1-(118.7/AA66))^2)</f>
        <v>0</v>
      </c>
      <c r="AC66" s="4">
        <f t="shared" ref="AC66:AC101" si="32">Y66/AA66</f>
        <v>1.7116483516483518</v>
      </c>
      <c r="AD66" s="4">
        <f t="shared" ref="AD66:AD101" si="33">SQRT(Z66^2+AB66^2)</f>
        <v>6.734300832572003E-2</v>
      </c>
      <c r="AE66" s="4">
        <f t="shared" ref="AE66:AE97" si="34">(A66*3+B66*3+C66*4+D66*5+E66*6+F66*8+G66*9+H66*10+I66*11+J66*12+K66*13+L66*14+M66*16+N66*3)/(SUM(A66:N66))</f>
        <v>7.2000000000000011</v>
      </c>
      <c r="AF66" s="4">
        <f t="shared" ref="AF66:AF97" si="35">SQRT(A66*(1-(3/AE66))^2+B66*(1-(3/AE66))^2+C66*(1-(4/AE66))^2+D66*(1-(5/AE66))^2+E66*(1-(6/AE66))^2+F66*(1-(8/AE66))^2+G66*(1-(9/AE66))^2+H66*(1-(10/AE66))^2+I66*(1-(11/AE66))^2+J66*(1-(12/AE66))^2+K66*(1-(13/AE66))^2+L66*(1-(14/AE66))^2+M66*(1-(16/AE66))^2+N66*(1-(3/AE66))^2)</f>
        <v>0.34471315683307929</v>
      </c>
      <c r="AG66" s="4">
        <f t="shared" ref="AG66:AG97" si="36">(A66*1.22+B66*1.1+C66*1.12+D66*1.13+E66*1.14+F66*1.17+G66*1.2+H66*1.2+I66*1.22+J66*1.23+K66*1.24+L66*1.24+M66*1.1+N66*1.27)/(SUM(A66:N66))</f>
        <v>1.196</v>
      </c>
      <c r="AH66" s="4">
        <f t="shared" ref="AH66:AH97" si="37">SQRT(A66*(1-(1.22/AG66))^2+B66*(1-(1.1/AG66))^2+C66*(1-(1.12/AG66))^2+D66*(1-(1.13/AG66))^2+E66*(1-(1.14/AG66))^2+F66*(1-(1.17/AG66))^2+G66*(1-(1.2/AG66))^2+H66*(1-(1.2/AG66))^2+I66*(1-(1.22/AG66))^2+J66*(1-(1.23/AG66))^2+K66*(1-(1.24/AG66))^2+L66*(1-(1.24/AG66))^2+M66*(1-(1.1/AG66))^2+N66*(1-(1.27/AG66))^2)</f>
        <v>3.6098717633650385E-2</v>
      </c>
      <c r="AI66" s="4">
        <f t="shared" ref="AI66:AI97" si="38">(O66*1.54+P66*1.33+Q66*1.3+R66*1.96)/(SUM(O66:R66))</f>
        <v>1.33</v>
      </c>
      <c r="AJ66" s="4">
        <f t="shared" ref="AJ66:AJ97" si="39">SQRT(O66*(1-(1.54/AI66))^2+P66*(1-(1.33/AI66))^2+Q66*(1-(1.3/AI66))^2+R66*(1-(1.96/AI66))^2)</f>
        <v>0</v>
      </c>
      <c r="AK66" s="4">
        <v>1</v>
      </c>
    </row>
    <row r="67" spans="1:37" x14ac:dyDescent="0.2">
      <c r="A67" s="4">
        <v>0</v>
      </c>
      <c r="B67" s="4">
        <v>0</v>
      </c>
      <c r="C67" s="4">
        <v>0</v>
      </c>
      <c r="D67" s="4">
        <v>0</v>
      </c>
      <c r="E67" s="4">
        <v>0.2</v>
      </c>
      <c r="F67" s="4">
        <v>0.2</v>
      </c>
      <c r="G67" s="4">
        <v>0</v>
      </c>
      <c r="H67" s="4">
        <v>0.2</v>
      </c>
      <c r="I67" s="4">
        <v>0</v>
      </c>
      <c r="J67" s="4">
        <v>0</v>
      </c>
      <c r="K67" s="4">
        <v>0.2</v>
      </c>
      <c r="L67" s="4">
        <v>0.2</v>
      </c>
      <c r="M67" s="4">
        <v>0</v>
      </c>
      <c r="N67" s="4">
        <v>0</v>
      </c>
      <c r="O67" s="4">
        <v>0</v>
      </c>
      <c r="P67" s="4">
        <v>1</v>
      </c>
      <c r="Q67" s="4">
        <v>0</v>
      </c>
      <c r="R67" s="4">
        <v>0</v>
      </c>
      <c r="S67" s="4">
        <f t="shared" si="22"/>
        <v>105.16000000000001</v>
      </c>
      <c r="T67" s="4">
        <f t="shared" si="23"/>
        <v>3.7672269227419536E-2</v>
      </c>
      <c r="U67" s="4">
        <f t="shared" si="24"/>
        <v>72</v>
      </c>
      <c r="V67" s="4">
        <f t="shared" si="25"/>
        <v>0</v>
      </c>
      <c r="W67" s="4">
        <f t="shared" si="26"/>
        <v>3.7672269227419536E-2</v>
      </c>
      <c r="X67" s="4">
        <f t="shared" si="27"/>
        <v>1.4605555555555556</v>
      </c>
      <c r="Y67" s="4">
        <f t="shared" si="28"/>
        <v>156.80000000000001</v>
      </c>
      <c r="Z67" s="4">
        <f t="shared" si="29"/>
        <v>5.5387112173490252E-2</v>
      </c>
      <c r="AA67" s="4">
        <f t="shared" si="30"/>
        <v>91</v>
      </c>
      <c r="AB67" s="4">
        <f t="shared" si="31"/>
        <v>0</v>
      </c>
      <c r="AC67" s="4">
        <f t="shared" si="32"/>
        <v>1.7230769230769232</v>
      </c>
      <c r="AD67" s="4">
        <f t="shared" si="33"/>
        <v>5.5387112173490252E-2</v>
      </c>
      <c r="AE67" s="4">
        <f t="shared" si="34"/>
        <v>10.200000000000001</v>
      </c>
      <c r="AF67" s="4">
        <f t="shared" si="35"/>
        <v>0.29346332445285811</v>
      </c>
      <c r="AG67" s="4">
        <f t="shared" si="36"/>
        <v>1.198</v>
      </c>
      <c r="AH67" s="4">
        <f t="shared" si="37"/>
        <v>3.2714387215802096E-2</v>
      </c>
      <c r="AI67" s="4">
        <f t="shared" si="38"/>
        <v>1.33</v>
      </c>
      <c r="AJ67" s="4">
        <f t="shared" si="39"/>
        <v>0</v>
      </c>
      <c r="AK67" s="4">
        <v>1</v>
      </c>
    </row>
    <row r="68" spans="1:37" x14ac:dyDescent="0.2">
      <c r="A68" s="4">
        <v>0.2</v>
      </c>
      <c r="B68" s="4">
        <v>0.2</v>
      </c>
      <c r="C68" s="4">
        <v>0</v>
      </c>
      <c r="D68" s="4">
        <v>0</v>
      </c>
      <c r="E68" s="4">
        <v>0</v>
      </c>
      <c r="F68" s="4">
        <v>0.2</v>
      </c>
      <c r="G68" s="4">
        <v>0.2</v>
      </c>
      <c r="H68" s="4">
        <v>0.2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1</v>
      </c>
      <c r="Q68" s="4">
        <v>0</v>
      </c>
      <c r="R68" s="4">
        <v>0</v>
      </c>
      <c r="S68" s="4">
        <f t="shared" si="22"/>
        <v>106.88000000000001</v>
      </c>
      <c r="T68" s="4">
        <f t="shared" si="23"/>
        <v>4.6655519160946221E-2</v>
      </c>
      <c r="U68" s="4">
        <f t="shared" si="24"/>
        <v>72</v>
      </c>
      <c r="V68" s="4">
        <f t="shared" si="25"/>
        <v>0</v>
      </c>
      <c r="W68" s="4">
        <f t="shared" si="26"/>
        <v>4.6655519160946221E-2</v>
      </c>
      <c r="X68" s="4">
        <f t="shared" si="27"/>
        <v>1.4844444444444447</v>
      </c>
      <c r="Y68" s="4">
        <f t="shared" si="28"/>
        <v>137.48000000000002</v>
      </c>
      <c r="Z68" s="4">
        <f t="shared" si="29"/>
        <v>0.18199144495375449</v>
      </c>
      <c r="AA68" s="4">
        <f t="shared" si="30"/>
        <v>91</v>
      </c>
      <c r="AB68" s="4">
        <f t="shared" si="31"/>
        <v>0</v>
      </c>
      <c r="AC68" s="4">
        <f t="shared" si="32"/>
        <v>1.5107692307692309</v>
      </c>
      <c r="AD68" s="4">
        <f t="shared" si="33"/>
        <v>0.18199144495375449</v>
      </c>
      <c r="AE68" s="4">
        <f t="shared" si="34"/>
        <v>6.6000000000000005</v>
      </c>
      <c r="AF68" s="4">
        <f t="shared" si="35"/>
        <v>0.45555443570826992</v>
      </c>
      <c r="AG68" s="4">
        <f t="shared" si="36"/>
        <v>1.1779999999999999</v>
      </c>
      <c r="AH68" s="4">
        <f t="shared" si="37"/>
        <v>3.5774715629381067E-2</v>
      </c>
      <c r="AI68" s="4">
        <f t="shared" si="38"/>
        <v>1.33</v>
      </c>
      <c r="AJ68" s="4">
        <f t="shared" si="39"/>
        <v>0</v>
      </c>
      <c r="AK68" s="4">
        <v>1</v>
      </c>
    </row>
    <row r="69" spans="1:37" x14ac:dyDescent="0.2">
      <c r="A69" s="4">
        <v>0</v>
      </c>
      <c r="B69" s="4">
        <v>0.2</v>
      </c>
      <c r="C69" s="4">
        <v>0</v>
      </c>
      <c r="D69" s="4">
        <v>0</v>
      </c>
      <c r="E69" s="4">
        <v>0.2</v>
      </c>
      <c r="F69" s="4">
        <v>0.2</v>
      </c>
      <c r="G69" s="4">
        <v>0.2</v>
      </c>
      <c r="H69" s="4">
        <v>0.2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f>1/3</f>
        <v>0.33333333333333331</v>
      </c>
      <c r="P69" s="4">
        <f>1/3</f>
        <v>0.33333333333333331</v>
      </c>
      <c r="Q69" s="4">
        <v>0</v>
      </c>
      <c r="R69" s="4">
        <f>1/3</f>
        <v>0.33333333333333331</v>
      </c>
      <c r="S69" s="4">
        <f t="shared" si="22"/>
        <v>108.68</v>
      </c>
      <c r="T69" s="4">
        <f t="shared" si="23"/>
        <v>4.1044098224367026E-2</v>
      </c>
      <c r="U69" s="4">
        <f t="shared" si="24"/>
        <v>67.166666666666657</v>
      </c>
      <c r="V69" s="4">
        <f t="shared" si="25"/>
        <v>7.2514338442692075E-2</v>
      </c>
      <c r="W69" s="4">
        <f t="shared" si="26"/>
        <v>8.3324349855446095E-2</v>
      </c>
      <c r="X69" s="4">
        <f t="shared" si="27"/>
        <v>1.6180645161290326</v>
      </c>
      <c r="Y69" s="4">
        <f t="shared" si="28"/>
        <v>148.54000000000002</v>
      </c>
      <c r="Z69" s="4">
        <f t="shared" si="29"/>
        <v>4.2956669253614604E-2</v>
      </c>
      <c r="AA69" s="4">
        <f t="shared" si="30"/>
        <v>85.86666666666666</v>
      </c>
      <c r="AB69" s="4">
        <f t="shared" si="31"/>
        <v>0.33925861924017908</v>
      </c>
      <c r="AC69" s="4">
        <f t="shared" si="32"/>
        <v>1.7298913043478266</v>
      </c>
      <c r="AD69" s="4">
        <f t="shared" si="33"/>
        <v>0.34196737587395271</v>
      </c>
      <c r="AE69" s="4">
        <f t="shared" si="34"/>
        <v>7.2</v>
      </c>
      <c r="AF69" s="4">
        <f t="shared" si="35"/>
        <v>0.3447131568330794</v>
      </c>
      <c r="AG69" s="4">
        <f t="shared" si="36"/>
        <v>1.1619999999999999</v>
      </c>
      <c r="AH69" s="4">
        <f t="shared" si="37"/>
        <v>3.283783825875887E-2</v>
      </c>
      <c r="AI69" s="4">
        <f t="shared" si="38"/>
        <v>1.6099999999999999</v>
      </c>
      <c r="AJ69" s="4">
        <f t="shared" si="39"/>
        <v>0.16268075594669307</v>
      </c>
      <c r="AK69" s="4">
        <v>1</v>
      </c>
    </row>
    <row r="70" spans="1:37" x14ac:dyDescent="0.2">
      <c r="A70" s="4">
        <v>0</v>
      </c>
      <c r="B70" s="4">
        <v>0.2</v>
      </c>
      <c r="C70" s="4">
        <v>0</v>
      </c>
      <c r="D70" s="4">
        <v>0</v>
      </c>
      <c r="E70" s="4">
        <v>0.2</v>
      </c>
      <c r="F70" s="4">
        <v>0.2</v>
      </c>
      <c r="G70" s="4">
        <v>0.2</v>
      </c>
      <c r="H70" s="4">
        <v>0.2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1</v>
      </c>
      <c r="P70" s="4">
        <v>0</v>
      </c>
      <c r="Q70" s="4">
        <v>0</v>
      </c>
      <c r="R70" s="4">
        <v>0</v>
      </c>
      <c r="S70" s="4">
        <f t="shared" si="22"/>
        <v>108.68</v>
      </c>
      <c r="T70" s="4">
        <f t="shared" si="23"/>
        <v>4.1044098224367026E-2</v>
      </c>
      <c r="U70" s="4">
        <f t="shared" si="24"/>
        <v>60.5</v>
      </c>
      <c r="V70" s="4">
        <f t="shared" si="25"/>
        <v>0</v>
      </c>
      <c r="W70" s="4">
        <f t="shared" si="26"/>
        <v>4.1044098224367026E-2</v>
      </c>
      <c r="X70" s="4">
        <f t="shared" si="27"/>
        <v>1.7963636363636364</v>
      </c>
      <c r="Y70" s="4">
        <f t="shared" si="28"/>
        <v>148.54000000000002</v>
      </c>
      <c r="Z70" s="4">
        <f t="shared" si="29"/>
        <v>4.2956669253614604E-2</v>
      </c>
      <c r="AA70" s="4">
        <f t="shared" si="30"/>
        <v>47.9</v>
      </c>
      <c r="AB70" s="4">
        <f t="shared" si="31"/>
        <v>0</v>
      </c>
      <c r="AC70" s="4">
        <f t="shared" si="32"/>
        <v>3.1010438413361174</v>
      </c>
      <c r="AD70" s="4">
        <f t="shared" si="33"/>
        <v>4.2956669253614604E-2</v>
      </c>
      <c r="AE70" s="4">
        <f t="shared" si="34"/>
        <v>7.2</v>
      </c>
      <c r="AF70" s="4">
        <f t="shared" si="35"/>
        <v>0.3447131568330794</v>
      </c>
      <c r="AG70" s="4">
        <f t="shared" si="36"/>
        <v>1.1619999999999999</v>
      </c>
      <c r="AH70" s="4">
        <f t="shared" si="37"/>
        <v>3.283783825875887E-2</v>
      </c>
      <c r="AI70" s="4">
        <f t="shared" si="38"/>
        <v>1.54</v>
      </c>
      <c r="AJ70" s="4">
        <f t="shared" si="39"/>
        <v>0</v>
      </c>
      <c r="AK70" s="4">
        <v>0</v>
      </c>
    </row>
    <row r="71" spans="1:37" x14ac:dyDescent="0.2">
      <c r="A71" s="4">
        <v>0</v>
      </c>
      <c r="B71" s="4">
        <v>0.2</v>
      </c>
      <c r="C71" s="4">
        <v>0</v>
      </c>
      <c r="D71" s="4">
        <v>0</v>
      </c>
      <c r="E71" s="4">
        <v>0.2</v>
      </c>
      <c r="F71" s="4">
        <v>0.2</v>
      </c>
      <c r="G71" s="4">
        <v>0.2</v>
      </c>
      <c r="H71" s="4">
        <v>0.2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0.25</v>
      </c>
      <c r="P71" s="4">
        <v>0.25</v>
      </c>
      <c r="Q71" s="4">
        <v>0.25</v>
      </c>
      <c r="R71" s="4">
        <v>0.25</v>
      </c>
      <c r="S71" s="4">
        <f t="shared" si="22"/>
        <v>108.68</v>
      </c>
      <c r="T71" s="4">
        <f t="shared" si="23"/>
        <v>4.1044098224367026E-2</v>
      </c>
      <c r="U71" s="4">
        <f t="shared" si="24"/>
        <v>68.125</v>
      </c>
      <c r="V71" s="4">
        <f t="shared" si="25"/>
        <v>6.6537483906307329E-2</v>
      </c>
      <c r="W71" s="4">
        <f t="shared" si="26"/>
        <v>7.8178352269880916E-2</v>
      </c>
      <c r="X71" s="4">
        <f t="shared" si="27"/>
        <v>1.5953027522935781</v>
      </c>
      <c r="Y71" s="4">
        <f t="shared" si="28"/>
        <v>148.54000000000002</v>
      </c>
      <c r="Z71" s="4">
        <f t="shared" si="29"/>
        <v>4.2956669253614604E-2</v>
      </c>
      <c r="AA71" s="4">
        <f t="shared" si="30"/>
        <v>108.89999999999999</v>
      </c>
      <c r="AB71" s="4">
        <f t="shared" si="31"/>
        <v>0.43344704696418507</v>
      </c>
      <c r="AC71" s="4">
        <f t="shared" si="32"/>
        <v>1.3640036730945824</v>
      </c>
      <c r="AD71" s="4">
        <f t="shared" si="33"/>
        <v>0.43557045119628685</v>
      </c>
      <c r="AE71" s="4">
        <f t="shared" si="34"/>
        <v>7.2</v>
      </c>
      <c r="AF71" s="4">
        <f t="shared" si="35"/>
        <v>0.3447131568330794</v>
      </c>
      <c r="AG71" s="4">
        <f t="shared" si="36"/>
        <v>1.1619999999999999</v>
      </c>
      <c r="AH71" s="4">
        <f t="shared" si="37"/>
        <v>3.283783825875887E-2</v>
      </c>
      <c r="AI71" s="4">
        <f t="shared" si="38"/>
        <v>1.5325</v>
      </c>
      <c r="AJ71" s="4">
        <f t="shared" si="39"/>
        <v>0.1719864605951606</v>
      </c>
      <c r="AK71" s="4">
        <v>1</v>
      </c>
    </row>
    <row r="72" spans="1:37" x14ac:dyDescent="0.2">
      <c r="A72" s="4">
        <v>0</v>
      </c>
      <c r="B72" s="4">
        <v>0.2</v>
      </c>
      <c r="C72" s="4">
        <v>0</v>
      </c>
      <c r="D72" s="4">
        <v>0</v>
      </c>
      <c r="E72" s="4">
        <v>0.2</v>
      </c>
      <c r="F72" s="4">
        <v>0.2</v>
      </c>
      <c r="G72" s="4">
        <v>0.2</v>
      </c>
      <c r="H72" s="4">
        <v>0.2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0.5</v>
      </c>
      <c r="P72" s="4">
        <v>0.5</v>
      </c>
      <c r="Q72" s="4">
        <v>0</v>
      </c>
      <c r="R72" s="4">
        <v>0</v>
      </c>
      <c r="S72" s="4">
        <f t="shared" si="22"/>
        <v>108.68</v>
      </c>
      <c r="T72" s="4">
        <f t="shared" si="23"/>
        <v>4.1044098224367026E-2</v>
      </c>
      <c r="U72" s="4">
        <f t="shared" si="24"/>
        <v>66.25</v>
      </c>
      <c r="V72" s="4">
        <f t="shared" si="25"/>
        <v>8.679245283018866E-2</v>
      </c>
      <c r="W72" s="4">
        <f t="shared" si="26"/>
        <v>9.6008061470545331E-2</v>
      </c>
      <c r="X72" s="4">
        <f t="shared" si="27"/>
        <v>1.6404528301886794</v>
      </c>
      <c r="Y72" s="4">
        <f t="shared" si="28"/>
        <v>148.54000000000002</v>
      </c>
      <c r="Z72" s="4">
        <f t="shared" si="29"/>
        <v>4.2956669253614604E-2</v>
      </c>
      <c r="AA72" s="4">
        <f t="shared" si="30"/>
        <v>69.45</v>
      </c>
      <c r="AB72" s="4">
        <f t="shared" si="31"/>
        <v>0.3102951763858891</v>
      </c>
      <c r="AC72" s="4">
        <f t="shared" si="32"/>
        <v>2.1388048956083514</v>
      </c>
      <c r="AD72" s="4">
        <f t="shared" si="33"/>
        <v>0.3132544842802964</v>
      </c>
      <c r="AE72" s="4">
        <f t="shared" si="34"/>
        <v>7.2</v>
      </c>
      <c r="AF72" s="4">
        <f t="shared" si="35"/>
        <v>0.3447131568330794</v>
      </c>
      <c r="AG72" s="4">
        <f t="shared" si="36"/>
        <v>1.1619999999999999</v>
      </c>
      <c r="AH72" s="4">
        <f t="shared" si="37"/>
        <v>3.283783825875887E-2</v>
      </c>
      <c r="AI72" s="4">
        <f t="shared" si="38"/>
        <v>1.4350000000000001</v>
      </c>
      <c r="AJ72" s="4">
        <f t="shared" si="39"/>
        <v>7.3170731707317083E-2</v>
      </c>
      <c r="AK72" s="4">
        <v>1</v>
      </c>
    </row>
    <row r="73" spans="1:37" x14ac:dyDescent="0.2">
      <c r="A73" s="4">
        <v>0</v>
      </c>
      <c r="B73" s="4">
        <v>0.2</v>
      </c>
      <c r="C73" s="4">
        <v>0.2</v>
      </c>
      <c r="D73" s="4">
        <v>0</v>
      </c>
      <c r="E73" s="4">
        <v>0.2</v>
      </c>
      <c r="F73" s="4">
        <v>0.2</v>
      </c>
      <c r="G73" s="4">
        <v>0</v>
      </c>
      <c r="H73" s="4">
        <v>0.2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1</v>
      </c>
      <c r="Q73" s="4">
        <v>0</v>
      </c>
      <c r="R73" s="4">
        <v>0</v>
      </c>
      <c r="S73" s="4">
        <f t="shared" si="22"/>
        <v>110.88000000000001</v>
      </c>
      <c r="T73" s="4">
        <f t="shared" si="23"/>
        <v>3.5604799602226962E-2</v>
      </c>
      <c r="U73" s="4">
        <f t="shared" si="24"/>
        <v>72</v>
      </c>
      <c r="V73" s="4">
        <f t="shared" si="25"/>
        <v>0</v>
      </c>
      <c r="W73" s="4">
        <f t="shared" si="26"/>
        <v>3.5604799602226962E-2</v>
      </c>
      <c r="X73" s="4">
        <f t="shared" si="27"/>
        <v>1.54</v>
      </c>
      <c r="Y73" s="4">
        <f t="shared" si="28"/>
        <v>146.16</v>
      </c>
      <c r="Z73" s="4">
        <f t="shared" si="29"/>
        <v>4.6856408658744235E-2</v>
      </c>
      <c r="AA73" s="4">
        <f t="shared" si="30"/>
        <v>91</v>
      </c>
      <c r="AB73" s="4">
        <f t="shared" si="31"/>
        <v>0</v>
      </c>
      <c r="AC73" s="4">
        <f t="shared" si="32"/>
        <v>1.606153846153846</v>
      </c>
      <c r="AD73" s="4">
        <f t="shared" si="33"/>
        <v>4.6856408658744235E-2</v>
      </c>
      <c r="AE73" s="4">
        <f t="shared" si="34"/>
        <v>6.2000000000000011</v>
      </c>
      <c r="AF73" s="4">
        <f t="shared" si="35"/>
        <v>0.41310478951179663</v>
      </c>
      <c r="AG73" s="4">
        <f t="shared" si="36"/>
        <v>1.1459999999999999</v>
      </c>
      <c r="AH73" s="4">
        <f t="shared" si="37"/>
        <v>3.1023366203544737E-2</v>
      </c>
      <c r="AI73" s="4">
        <f t="shared" si="38"/>
        <v>1.33</v>
      </c>
      <c r="AJ73" s="4">
        <f t="shared" si="39"/>
        <v>0</v>
      </c>
      <c r="AK73" s="4">
        <v>1</v>
      </c>
    </row>
    <row r="74" spans="1:37" x14ac:dyDescent="0.2">
      <c r="A74" s="4">
        <v>0</v>
      </c>
      <c r="B74" s="4">
        <v>0.2</v>
      </c>
      <c r="C74" s="4">
        <v>0.2</v>
      </c>
      <c r="D74" s="4">
        <v>0</v>
      </c>
      <c r="E74" s="4">
        <v>0.2</v>
      </c>
      <c r="F74" s="4">
        <v>0.2</v>
      </c>
      <c r="G74" s="4">
        <v>0.2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1</v>
      </c>
      <c r="Q74" s="4">
        <v>0</v>
      </c>
      <c r="R74" s="4">
        <v>0</v>
      </c>
      <c r="S74" s="4">
        <f t="shared" si="22"/>
        <v>110.48</v>
      </c>
      <c r="T74" s="4">
        <f t="shared" si="23"/>
        <v>4.1171091570284472E-2</v>
      </c>
      <c r="U74" s="4">
        <f t="shared" si="24"/>
        <v>72</v>
      </c>
      <c r="V74" s="4">
        <f t="shared" si="25"/>
        <v>0</v>
      </c>
      <c r="W74" s="4">
        <f t="shared" si="26"/>
        <v>4.1171091570284472E-2</v>
      </c>
      <c r="X74" s="4">
        <f t="shared" si="27"/>
        <v>1.5344444444444445</v>
      </c>
      <c r="Y74" s="4">
        <f t="shared" si="28"/>
        <v>145.1</v>
      </c>
      <c r="Z74" s="4">
        <f t="shared" si="29"/>
        <v>3.6324421648806171E-2</v>
      </c>
      <c r="AA74" s="4">
        <f t="shared" si="30"/>
        <v>91</v>
      </c>
      <c r="AB74" s="4">
        <f t="shared" si="31"/>
        <v>0</v>
      </c>
      <c r="AC74" s="4">
        <f t="shared" si="32"/>
        <v>1.5945054945054944</v>
      </c>
      <c r="AD74" s="4">
        <f t="shared" si="33"/>
        <v>3.6324421648806171E-2</v>
      </c>
      <c r="AE74" s="4">
        <f t="shared" si="34"/>
        <v>6.0000000000000009</v>
      </c>
      <c r="AF74" s="4">
        <f t="shared" si="35"/>
        <v>0.38005847503304591</v>
      </c>
      <c r="AG74" s="4">
        <f t="shared" si="36"/>
        <v>1.1459999999999999</v>
      </c>
      <c r="AH74" s="4">
        <f t="shared" si="37"/>
        <v>3.1023366203544737E-2</v>
      </c>
      <c r="AI74" s="4">
        <f t="shared" si="38"/>
        <v>1.33</v>
      </c>
      <c r="AJ74" s="4">
        <f t="shared" si="39"/>
        <v>0</v>
      </c>
      <c r="AK74" s="4">
        <v>1</v>
      </c>
    </row>
    <row r="75" spans="1:37" x14ac:dyDescent="0.2">
      <c r="A75" s="4">
        <v>0</v>
      </c>
      <c r="B75" s="4">
        <v>0.2</v>
      </c>
      <c r="C75" s="4">
        <v>0</v>
      </c>
      <c r="D75" s="4">
        <v>0</v>
      </c>
      <c r="E75" s="4">
        <v>0.2</v>
      </c>
      <c r="F75" s="4">
        <v>0.2</v>
      </c>
      <c r="G75" s="4">
        <v>0.2</v>
      </c>
      <c r="H75" s="4">
        <v>0.2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1</v>
      </c>
      <c r="Q75" s="4">
        <v>0</v>
      </c>
      <c r="R75" s="4">
        <v>0</v>
      </c>
      <c r="S75" s="4">
        <f t="shared" si="22"/>
        <v>108.68</v>
      </c>
      <c r="T75" s="4">
        <f t="shared" si="23"/>
        <v>4.1044098224367026E-2</v>
      </c>
      <c r="U75" s="4">
        <f t="shared" si="24"/>
        <v>72</v>
      </c>
      <c r="V75" s="4">
        <f t="shared" si="25"/>
        <v>0</v>
      </c>
      <c r="W75" s="4">
        <f t="shared" si="26"/>
        <v>4.1044098224367026E-2</v>
      </c>
      <c r="X75" s="4">
        <f t="shared" si="27"/>
        <v>1.5094444444444446</v>
      </c>
      <c r="Y75" s="4">
        <f t="shared" si="28"/>
        <v>148.54000000000002</v>
      </c>
      <c r="Z75" s="4">
        <f t="shared" si="29"/>
        <v>4.2956669253614604E-2</v>
      </c>
      <c r="AA75" s="4">
        <f t="shared" si="30"/>
        <v>91</v>
      </c>
      <c r="AB75" s="4">
        <f t="shared" si="31"/>
        <v>0</v>
      </c>
      <c r="AC75" s="4">
        <f t="shared" si="32"/>
        <v>1.6323076923076925</v>
      </c>
      <c r="AD75" s="4">
        <f t="shared" si="33"/>
        <v>4.2956669253614604E-2</v>
      </c>
      <c r="AE75" s="4">
        <f t="shared" si="34"/>
        <v>7.2</v>
      </c>
      <c r="AF75" s="4">
        <f t="shared" si="35"/>
        <v>0.3447131568330794</v>
      </c>
      <c r="AG75" s="4">
        <f t="shared" si="36"/>
        <v>1.1619999999999999</v>
      </c>
      <c r="AH75" s="4">
        <f t="shared" si="37"/>
        <v>3.283783825875887E-2</v>
      </c>
      <c r="AI75" s="4">
        <f t="shared" si="38"/>
        <v>1.33</v>
      </c>
      <c r="AJ75" s="4">
        <f t="shared" si="39"/>
        <v>0</v>
      </c>
      <c r="AK75" s="4">
        <v>1</v>
      </c>
    </row>
    <row r="76" spans="1:37" x14ac:dyDescent="0.2">
      <c r="A76" s="4">
        <v>0.2</v>
      </c>
      <c r="B76" s="4">
        <v>0.2</v>
      </c>
      <c r="C76" s="4">
        <v>0</v>
      </c>
      <c r="D76" s="4">
        <v>0</v>
      </c>
      <c r="E76" s="4">
        <v>0.2</v>
      </c>
      <c r="F76" s="4">
        <v>0.2</v>
      </c>
      <c r="G76" s="4">
        <v>0</v>
      </c>
      <c r="H76" s="4">
        <v>0.2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1</v>
      </c>
      <c r="Q76" s="4">
        <v>0</v>
      </c>
      <c r="R76" s="4">
        <v>0</v>
      </c>
      <c r="S76" s="4">
        <f t="shared" si="22"/>
        <v>108.4</v>
      </c>
      <c r="T76" s="4">
        <f t="shared" si="23"/>
        <v>4.4456905460583084E-2</v>
      </c>
      <c r="U76" s="4">
        <f t="shared" si="24"/>
        <v>72</v>
      </c>
      <c r="V76" s="4">
        <f t="shared" si="25"/>
        <v>0</v>
      </c>
      <c r="W76" s="4">
        <f t="shared" si="26"/>
        <v>4.4456905460583084E-2</v>
      </c>
      <c r="X76" s="4">
        <f t="shared" si="27"/>
        <v>1.5055555555555555</v>
      </c>
      <c r="Y76" s="4">
        <f t="shared" si="28"/>
        <v>135.92000000000002</v>
      </c>
      <c r="Z76" s="4">
        <f t="shared" si="29"/>
        <v>0.17877430911431996</v>
      </c>
      <c r="AA76" s="4">
        <f t="shared" si="30"/>
        <v>91</v>
      </c>
      <c r="AB76" s="4">
        <f t="shared" si="31"/>
        <v>0</v>
      </c>
      <c r="AC76" s="4">
        <f t="shared" si="32"/>
        <v>1.4936263736263737</v>
      </c>
      <c r="AD76" s="4">
        <f t="shared" si="33"/>
        <v>0.17877430911431996</v>
      </c>
      <c r="AE76" s="4">
        <f t="shared" si="34"/>
        <v>6</v>
      </c>
      <c r="AF76" s="4">
        <f t="shared" si="35"/>
        <v>0.45946829173634074</v>
      </c>
      <c r="AG76" s="4">
        <f t="shared" si="36"/>
        <v>1.1659999999999999</v>
      </c>
      <c r="AH76" s="4">
        <f t="shared" si="37"/>
        <v>3.6628055753109102E-2</v>
      </c>
      <c r="AI76" s="4">
        <f t="shared" si="38"/>
        <v>1.33</v>
      </c>
      <c r="AJ76" s="4">
        <f t="shared" si="39"/>
        <v>0</v>
      </c>
      <c r="AK76" s="4">
        <v>1</v>
      </c>
    </row>
    <row r="77" spans="1:37" x14ac:dyDescent="0.2">
      <c r="A77" s="4">
        <v>0.2</v>
      </c>
      <c r="B77" s="4">
        <v>0.2</v>
      </c>
      <c r="C77" s="4">
        <v>0</v>
      </c>
      <c r="D77" s="4">
        <v>0</v>
      </c>
      <c r="E77" s="4">
        <v>0.2</v>
      </c>
      <c r="F77" s="4">
        <v>0.2</v>
      </c>
      <c r="G77" s="4">
        <v>0.2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1</v>
      </c>
      <c r="Q77" s="4">
        <v>0</v>
      </c>
      <c r="R77" s="4">
        <v>0</v>
      </c>
      <c r="S77" s="4">
        <f t="shared" si="22"/>
        <v>108</v>
      </c>
      <c r="T77" s="4">
        <f t="shared" si="23"/>
        <v>4.7524450425049852E-2</v>
      </c>
      <c r="U77" s="4">
        <f t="shared" si="24"/>
        <v>72</v>
      </c>
      <c r="V77" s="4">
        <f t="shared" si="25"/>
        <v>0</v>
      </c>
      <c r="W77" s="4">
        <f t="shared" si="26"/>
        <v>4.7524450425049852E-2</v>
      </c>
      <c r="X77" s="4">
        <f t="shared" si="27"/>
        <v>1.5</v>
      </c>
      <c r="Y77" s="4">
        <f t="shared" si="28"/>
        <v>134.86000000000001</v>
      </c>
      <c r="Z77" s="4">
        <f t="shared" si="29"/>
        <v>0.17383783944621464</v>
      </c>
      <c r="AA77" s="4">
        <f t="shared" si="30"/>
        <v>91</v>
      </c>
      <c r="AB77" s="4">
        <f t="shared" si="31"/>
        <v>0</v>
      </c>
      <c r="AC77" s="4">
        <f t="shared" si="32"/>
        <v>1.4819780219780221</v>
      </c>
      <c r="AD77" s="4">
        <f t="shared" si="33"/>
        <v>0.17383783944621464</v>
      </c>
      <c r="AE77" s="4">
        <f t="shared" si="34"/>
        <v>5.8</v>
      </c>
      <c r="AF77" s="4">
        <f t="shared" si="35"/>
        <v>0.42791978089623645</v>
      </c>
      <c r="AG77" s="4">
        <f t="shared" si="36"/>
        <v>1.1659999999999999</v>
      </c>
      <c r="AH77" s="4">
        <f t="shared" si="37"/>
        <v>3.6628055753109102E-2</v>
      </c>
      <c r="AI77" s="4">
        <f t="shared" si="38"/>
        <v>1.33</v>
      </c>
      <c r="AJ77" s="4">
        <f t="shared" si="39"/>
        <v>0</v>
      </c>
      <c r="AK77" s="4">
        <v>1</v>
      </c>
    </row>
    <row r="78" spans="1:37" x14ac:dyDescent="0.2">
      <c r="A78" s="4">
        <v>0</v>
      </c>
      <c r="B78" s="4">
        <v>0</v>
      </c>
      <c r="C78" s="4">
        <v>0</v>
      </c>
      <c r="D78" s="4">
        <v>0</v>
      </c>
      <c r="E78" s="4">
        <v>0</v>
      </c>
      <c r="F78" s="4">
        <v>0.25</v>
      </c>
      <c r="G78" s="4">
        <v>0.25</v>
      </c>
      <c r="H78" s="4">
        <v>0.25</v>
      </c>
      <c r="I78" s="4">
        <v>0</v>
      </c>
      <c r="J78" s="4">
        <v>0</v>
      </c>
      <c r="K78" s="4">
        <v>0</v>
      </c>
      <c r="L78" s="4">
        <v>0</v>
      </c>
      <c r="M78" s="4">
        <v>0.25</v>
      </c>
      <c r="N78" s="4">
        <v>0</v>
      </c>
      <c r="O78" s="4">
        <v>0.25</v>
      </c>
      <c r="P78" s="4">
        <v>0.25</v>
      </c>
      <c r="Q78" s="4">
        <v>0.25</v>
      </c>
      <c r="R78" s="4">
        <v>0.25</v>
      </c>
      <c r="S78" s="4">
        <f t="shared" si="22"/>
        <v>103.75</v>
      </c>
      <c r="T78" s="4">
        <f t="shared" si="23"/>
        <v>3.3176094032762851E-2</v>
      </c>
      <c r="U78" s="4">
        <f t="shared" si="24"/>
        <v>68.125</v>
      </c>
      <c r="V78" s="4">
        <f t="shared" si="25"/>
        <v>6.6537483906307329E-2</v>
      </c>
      <c r="W78" s="4">
        <f t="shared" si="26"/>
        <v>7.4349781303328866E-2</v>
      </c>
      <c r="X78" s="4">
        <f t="shared" si="27"/>
        <v>1.5229357798165137</v>
      </c>
      <c r="Y78" s="4">
        <f t="shared" si="28"/>
        <v>158.15</v>
      </c>
      <c r="Z78" s="4">
        <f t="shared" si="29"/>
        <v>5.6616565036648393E-2</v>
      </c>
      <c r="AA78" s="4">
        <f t="shared" si="30"/>
        <v>108.89999999999999</v>
      </c>
      <c r="AB78" s="4">
        <f t="shared" si="31"/>
        <v>0.43344704696418507</v>
      </c>
      <c r="AC78" s="4">
        <f t="shared" si="32"/>
        <v>1.4522497704315889</v>
      </c>
      <c r="AD78" s="4">
        <f t="shared" si="33"/>
        <v>0.43712901752059596</v>
      </c>
      <c r="AE78" s="4">
        <f t="shared" si="34"/>
        <v>10.75</v>
      </c>
      <c r="AF78" s="4">
        <f t="shared" si="35"/>
        <v>0.28953254879043561</v>
      </c>
      <c r="AG78" s="4">
        <f t="shared" si="36"/>
        <v>1.1675</v>
      </c>
      <c r="AH78" s="4">
        <f t="shared" si="37"/>
        <v>3.4989581666741258E-2</v>
      </c>
      <c r="AI78" s="4">
        <f t="shared" si="38"/>
        <v>1.5325</v>
      </c>
      <c r="AJ78" s="4">
        <f t="shared" si="39"/>
        <v>0.1719864605951606</v>
      </c>
      <c r="AK78" s="4">
        <v>1</v>
      </c>
    </row>
    <row r="79" spans="1:37" x14ac:dyDescent="0.2">
      <c r="A79" s="4">
        <v>0</v>
      </c>
      <c r="B79" s="4">
        <v>0</v>
      </c>
      <c r="C79" s="4">
        <v>0</v>
      </c>
      <c r="D79" s="4">
        <v>0</v>
      </c>
      <c r="E79" s="4">
        <v>0</v>
      </c>
      <c r="F79" s="4">
        <v>0.25</v>
      </c>
      <c r="G79" s="4">
        <v>0</v>
      </c>
      <c r="H79" s="4">
        <v>0.25</v>
      </c>
      <c r="I79" s="4">
        <v>0</v>
      </c>
      <c r="J79" s="4">
        <v>0</v>
      </c>
      <c r="K79" s="4">
        <v>0</v>
      </c>
      <c r="L79" s="4">
        <v>0.25</v>
      </c>
      <c r="M79" s="4">
        <v>0.25</v>
      </c>
      <c r="N79" s="4">
        <v>0</v>
      </c>
      <c r="O79" s="4">
        <v>1</v>
      </c>
      <c r="P79" s="4">
        <v>0</v>
      </c>
      <c r="Q79" s="4">
        <v>0</v>
      </c>
      <c r="R79" s="4">
        <v>0</v>
      </c>
      <c r="S79" s="4">
        <f t="shared" si="22"/>
        <v>102.97499999999999</v>
      </c>
      <c r="T79" s="4">
        <f t="shared" si="23"/>
        <v>3.6782975391054074E-2</v>
      </c>
      <c r="U79" s="4">
        <f t="shared" si="24"/>
        <v>60.5</v>
      </c>
      <c r="V79" s="4">
        <f t="shared" si="25"/>
        <v>0</v>
      </c>
      <c r="W79" s="4">
        <f t="shared" si="26"/>
        <v>3.6782975391054074E-2</v>
      </c>
      <c r="X79" s="4">
        <f t="shared" si="27"/>
        <v>1.7020661157024792</v>
      </c>
      <c r="Y79" s="4">
        <f t="shared" si="28"/>
        <v>161.97500000000002</v>
      </c>
      <c r="Z79" s="4">
        <f t="shared" si="29"/>
        <v>5.4180743183082934E-2</v>
      </c>
      <c r="AA79" s="4">
        <f t="shared" si="30"/>
        <v>47.9</v>
      </c>
      <c r="AB79" s="4">
        <f t="shared" si="31"/>
        <v>0</v>
      </c>
      <c r="AC79" s="4">
        <f t="shared" si="32"/>
        <v>3.3815240083507314</v>
      </c>
      <c r="AD79" s="4">
        <f t="shared" si="33"/>
        <v>5.4180743183082934E-2</v>
      </c>
      <c r="AE79" s="4">
        <f t="shared" si="34"/>
        <v>12</v>
      </c>
      <c r="AF79" s="4">
        <f t="shared" si="35"/>
        <v>0.2635231383473649</v>
      </c>
      <c r="AG79" s="4">
        <f t="shared" si="36"/>
        <v>1.1775000000000002</v>
      </c>
      <c r="AH79" s="4">
        <f t="shared" si="37"/>
        <v>4.345963798398874E-2</v>
      </c>
      <c r="AI79" s="4">
        <f t="shared" si="38"/>
        <v>1.54</v>
      </c>
      <c r="AJ79" s="4">
        <f t="shared" si="39"/>
        <v>0</v>
      </c>
      <c r="AK79" s="4">
        <v>1</v>
      </c>
    </row>
    <row r="80" spans="1:37" x14ac:dyDescent="0.2">
      <c r="A80" s="4">
        <v>0</v>
      </c>
      <c r="B80" s="4">
        <v>0</v>
      </c>
      <c r="C80" s="4">
        <v>0</v>
      </c>
      <c r="D80" s="4">
        <v>0</v>
      </c>
      <c r="E80" s="4">
        <v>0</v>
      </c>
      <c r="F80" s="4">
        <v>0.25</v>
      </c>
      <c r="G80" s="4">
        <v>0.25</v>
      </c>
      <c r="H80" s="4">
        <v>0.25</v>
      </c>
      <c r="I80" s="4">
        <v>0</v>
      </c>
      <c r="J80" s="4">
        <v>0</v>
      </c>
      <c r="K80" s="4">
        <v>0</v>
      </c>
      <c r="L80" s="4">
        <v>0</v>
      </c>
      <c r="M80" s="4">
        <v>0.25</v>
      </c>
      <c r="N80" s="4">
        <v>0</v>
      </c>
      <c r="O80" s="4">
        <v>0.5</v>
      </c>
      <c r="P80" s="4">
        <v>0.25</v>
      </c>
      <c r="Q80" s="4">
        <v>0.25</v>
      </c>
      <c r="R80" s="4">
        <v>0</v>
      </c>
      <c r="S80" s="4">
        <f t="shared" si="22"/>
        <v>103.75</v>
      </c>
      <c r="T80" s="4">
        <f t="shared" si="23"/>
        <v>3.3176094032762851E-2</v>
      </c>
      <c r="U80" s="4">
        <f t="shared" si="24"/>
        <v>66</v>
      </c>
      <c r="V80" s="4">
        <f t="shared" si="25"/>
        <v>8.3505332140335606E-2</v>
      </c>
      <c r="W80" s="4">
        <f t="shared" si="26"/>
        <v>8.9854291556600061E-2</v>
      </c>
      <c r="X80" s="4">
        <f t="shared" si="27"/>
        <v>1.571969696969697</v>
      </c>
      <c r="Y80" s="4">
        <f t="shared" si="28"/>
        <v>158.15</v>
      </c>
      <c r="Z80" s="4">
        <f t="shared" si="29"/>
        <v>5.6616565036648393E-2</v>
      </c>
      <c r="AA80" s="4">
        <f t="shared" si="30"/>
        <v>91.2</v>
      </c>
      <c r="AB80" s="4">
        <f t="shared" si="31"/>
        <v>0.58238188714370975</v>
      </c>
      <c r="AC80" s="4">
        <f t="shared" si="32"/>
        <v>1.7341008771929824</v>
      </c>
      <c r="AD80" s="4">
        <f t="shared" si="33"/>
        <v>0.58512742023393316</v>
      </c>
      <c r="AE80" s="4">
        <f t="shared" si="34"/>
        <v>10.75</v>
      </c>
      <c r="AF80" s="4">
        <f t="shared" si="35"/>
        <v>0.28953254879043561</v>
      </c>
      <c r="AG80" s="4">
        <f t="shared" si="36"/>
        <v>1.1675</v>
      </c>
      <c r="AH80" s="4">
        <f t="shared" si="37"/>
        <v>3.4989581666741258E-2</v>
      </c>
      <c r="AI80" s="4">
        <f t="shared" si="38"/>
        <v>1.4275</v>
      </c>
      <c r="AJ80" s="4">
        <f t="shared" si="39"/>
        <v>7.9158594605881066E-2</v>
      </c>
      <c r="AK80" s="4">
        <v>1</v>
      </c>
    </row>
    <row r="81" spans="1:37" x14ac:dyDescent="0.2">
      <c r="A81" s="4">
        <v>0</v>
      </c>
      <c r="B81" s="4">
        <v>0</v>
      </c>
      <c r="C81" s="4">
        <v>0</v>
      </c>
      <c r="D81" s="4">
        <v>0</v>
      </c>
      <c r="E81" s="4">
        <v>0.25</v>
      </c>
      <c r="F81" s="4">
        <v>0.25</v>
      </c>
      <c r="G81" s="4">
        <v>0.25</v>
      </c>
      <c r="H81" s="4">
        <v>0.25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1</v>
      </c>
      <c r="Q81" s="4">
        <v>0</v>
      </c>
      <c r="R81" s="4">
        <v>0</v>
      </c>
      <c r="S81" s="4">
        <f t="shared" si="22"/>
        <v>106.85000000000001</v>
      </c>
      <c r="T81" s="4">
        <f t="shared" si="23"/>
        <v>2.6681114253904414E-2</v>
      </c>
      <c r="U81" s="4">
        <f t="shared" si="24"/>
        <v>72</v>
      </c>
      <c r="V81" s="4">
        <f t="shared" si="25"/>
        <v>0</v>
      </c>
      <c r="W81" s="4">
        <f t="shared" si="26"/>
        <v>2.6681114253904414E-2</v>
      </c>
      <c r="X81" s="4">
        <f t="shared" si="27"/>
        <v>1.4840277777777779</v>
      </c>
      <c r="Y81" s="4">
        <f t="shared" si="28"/>
        <v>150.94999999999999</v>
      </c>
      <c r="Z81" s="4">
        <f t="shared" si="29"/>
        <v>3.0968305819496871E-2</v>
      </c>
      <c r="AA81" s="4">
        <f t="shared" si="30"/>
        <v>91</v>
      </c>
      <c r="AB81" s="4">
        <f t="shared" si="31"/>
        <v>0</v>
      </c>
      <c r="AC81" s="4">
        <f t="shared" si="32"/>
        <v>1.6587912087912087</v>
      </c>
      <c r="AD81" s="4">
        <f t="shared" si="33"/>
        <v>3.0968305819496871E-2</v>
      </c>
      <c r="AE81" s="4">
        <f t="shared" si="34"/>
        <v>8.25</v>
      </c>
      <c r="AF81" s="4">
        <f t="shared" si="35"/>
        <v>0.17927514494241259</v>
      </c>
      <c r="AG81" s="4">
        <f t="shared" si="36"/>
        <v>1.1775</v>
      </c>
      <c r="AH81" s="4">
        <f t="shared" si="37"/>
        <v>2.1124998664684112E-2</v>
      </c>
      <c r="AI81" s="4">
        <f t="shared" si="38"/>
        <v>1.33</v>
      </c>
      <c r="AJ81" s="4">
        <f t="shared" si="39"/>
        <v>0</v>
      </c>
      <c r="AK81" s="4">
        <v>1</v>
      </c>
    </row>
    <row r="82" spans="1:37" x14ac:dyDescent="0.2">
      <c r="A82" s="4">
        <v>0</v>
      </c>
      <c r="B82" s="4">
        <v>0</v>
      </c>
      <c r="C82" s="4">
        <v>0</v>
      </c>
      <c r="D82" s="4">
        <v>0</v>
      </c>
      <c r="E82" s="4">
        <v>0</v>
      </c>
      <c r="F82" s="4">
        <f t="shared" ref="F82:H90" si="40">1/3</f>
        <v>0.33333333333333331</v>
      </c>
      <c r="G82" s="4">
        <f t="shared" si="40"/>
        <v>0.33333333333333331</v>
      </c>
      <c r="H82" s="4">
        <f t="shared" si="40"/>
        <v>0.33333333333333331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f>1/3</f>
        <v>0.33333333333333331</v>
      </c>
      <c r="P82" s="4">
        <f>1/3</f>
        <v>0.33333333333333331</v>
      </c>
      <c r="Q82" s="4">
        <v>0</v>
      </c>
      <c r="R82" s="4">
        <f>1/3</f>
        <v>0.33333333333333331</v>
      </c>
      <c r="S82" s="4">
        <f t="shared" si="22"/>
        <v>105.5</v>
      </c>
      <c r="T82" s="4">
        <f t="shared" si="23"/>
        <v>1.7850801759021217E-2</v>
      </c>
      <c r="U82" s="4">
        <f t="shared" si="24"/>
        <v>67.166666666666657</v>
      </c>
      <c r="V82" s="4">
        <f t="shared" si="25"/>
        <v>7.2514338442692075E-2</v>
      </c>
      <c r="W82" s="4">
        <f t="shared" si="26"/>
        <v>7.4679183198674351E-2</v>
      </c>
      <c r="X82" s="4">
        <f t="shared" si="27"/>
        <v>1.5707196029776678</v>
      </c>
      <c r="Y82" s="4">
        <f t="shared" si="28"/>
        <v>153.19999999999999</v>
      </c>
      <c r="Z82" s="4">
        <f t="shared" si="29"/>
        <v>1.9458559195223105E-2</v>
      </c>
      <c r="AA82" s="4">
        <f t="shared" si="30"/>
        <v>85.86666666666666</v>
      </c>
      <c r="AB82" s="4">
        <f t="shared" si="31"/>
        <v>0.33925861924017908</v>
      </c>
      <c r="AC82" s="4">
        <f t="shared" si="32"/>
        <v>1.7841614906832297</v>
      </c>
      <c r="AD82" s="4">
        <f t="shared" si="33"/>
        <v>0.33981619480935105</v>
      </c>
      <c r="AE82" s="4">
        <f t="shared" si="34"/>
        <v>9</v>
      </c>
      <c r="AF82" s="4">
        <f t="shared" si="35"/>
        <v>9.0721842325302934E-2</v>
      </c>
      <c r="AG82" s="4">
        <f t="shared" si="36"/>
        <v>1.19</v>
      </c>
      <c r="AH82" s="4">
        <f t="shared" si="37"/>
        <v>1.1884147582967195E-2</v>
      </c>
      <c r="AI82" s="4">
        <f t="shared" si="38"/>
        <v>1.6099999999999999</v>
      </c>
      <c r="AJ82" s="4">
        <f t="shared" si="39"/>
        <v>0.16268075594669307</v>
      </c>
      <c r="AK82" s="4">
        <v>1</v>
      </c>
    </row>
    <row r="83" spans="1:37" x14ac:dyDescent="0.2">
      <c r="A83" s="4">
        <v>0</v>
      </c>
      <c r="B83" s="4">
        <v>0</v>
      </c>
      <c r="C83" s="4">
        <v>0</v>
      </c>
      <c r="D83" s="4">
        <v>0</v>
      </c>
      <c r="E83" s="4">
        <v>0</v>
      </c>
      <c r="F83" s="4">
        <f t="shared" si="40"/>
        <v>0.33333333333333331</v>
      </c>
      <c r="G83" s="4">
        <f t="shared" si="40"/>
        <v>0.33333333333333331</v>
      </c>
      <c r="H83" s="4">
        <f t="shared" si="40"/>
        <v>0.33333333333333331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1</v>
      </c>
      <c r="P83" s="4">
        <v>0</v>
      </c>
      <c r="Q83" s="4">
        <v>0</v>
      </c>
      <c r="R83" s="4">
        <v>0</v>
      </c>
      <c r="S83" s="4">
        <f t="shared" si="22"/>
        <v>105.5</v>
      </c>
      <c r="T83" s="4">
        <f t="shared" si="23"/>
        <v>1.7850801759021217E-2</v>
      </c>
      <c r="U83" s="4">
        <f t="shared" si="24"/>
        <v>60.5</v>
      </c>
      <c r="V83" s="4">
        <f t="shared" si="25"/>
        <v>0</v>
      </c>
      <c r="W83" s="4">
        <f t="shared" si="26"/>
        <v>1.7850801759021217E-2</v>
      </c>
      <c r="X83" s="4">
        <f t="shared" si="27"/>
        <v>1.7438016528925619</v>
      </c>
      <c r="Y83" s="4">
        <f t="shared" si="28"/>
        <v>153.19999999999999</v>
      </c>
      <c r="Z83" s="4">
        <f t="shared" si="29"/>
        <v>1.9458559195223105E-2</v>
      </c>
      <c r="AA83" s="4">
        <f t="shared" si="30"/>
        <v>47.9</v>
      </c>
      <c r="AB83" s="4">
        <f t="shared" si="31"/>
        <v>0</v>
      </c>
      <c r="AC83" s="4">
        <f t="shared" si="32"/>
        <v>3.1983298538622127</v>
      </c>
      <c r="AD83" s="4">
        <f t="shared" si="33"/>
        <v>1.9458559195223105E-2</v>
      </c>
      <c r="AE83" s="4">
        <f t="shared" si="34"/>
        <v>9</v>
      </c>
      <c r="AF83" s="4">
        <f t="shared" si="35"/>
        <v>9.0721842325302934E-2</v>
      </c>
      <c r="AG83" s="4">
        <f t="shared" si="36"/>
        <v>1.19</v>
      </c>
      <c r="AH83" s="4">
        <f t="shared" si="37"/>
        <v>1.1884147582967195E-2</v>
      </c>
      <c r="AI83" s="4">
        <f t="shared" si="38"/>
        <v>1.54</v>
      </c>
      <c r="AJ83" s="4">
        <f t="shared" si="39"/>
        <v>0</v>
      </c>
      <c r="AK83" s="4">
        <v>1</v>
      </c>
    </row>
    <row r="84" spans="1:37" x14ac:dyDescent="0.2">
      <c r="A84" s="4">
        <v>0</v>
      </c>
      <c r="B84" s="4">
        <v>0</v>
      </c>
      <c r="C84" s="4">
        <v>0</v>
      </c>
      <c r="D84" s="4">
        <v>0</v>
      </c>
      <c r="E84" s="4">
        <v>0</v>
      </c>
      <c r="F84" s="4">
        <f t="shared" si="40"/>
        <v>0.33333333333333331</v>
      </c>
      <c r="G84" s="4">
        <f t="shared" si="40"/>
        <v>0.33333333333333331</v>
      </c>
      <c r="H84" s="4">
        <f t="shared" si="40"/>
        <v>0.33333333333333331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0.75</v>
      </c>
      <c r="P84" s="4">
        <f>1/12</f>
        <v>8.3333333333333329E-2</v>
      </c>
      <c r="Q84" s="4">
        <f>1/12</f>
        <v>8.3333333333333329E-2</v>
      </c>
      <c r="R84" s="4">
        <f>1/12</f>
        <v>8.3333333333333329E-2</v>
      </c>
      <c r="S84" s="4">
        <f t="shared" si="22"/>
        <v>105.5</v>
      </c>
      <c r="T84" s="4">
        <f t="shared" si="23"/>
        <v>1.7850801759021217E-2</v>
      </c>
      <c r="U84" s="4">
        <f t="shared" si="24"/>
        <v>63.041666666666664</v>
      </c>
      <c r="V84" s="4">
        <f t="shared" si="25"/>
        <v>7.0528676191054337E-2</v>
      </c>
      <c r="W84" s="4">
        <f t="shared" si="26"/>
        <v>7.2752630802620941E-2</v>
      </c>
      <c r="X84" s="4">
        <f t="shared" si="27"/>
        <v>1.6734963648380701</v>
      </c>
      <c r="Y84" s="4">
        <f t="shared" si="28"/>
        <v>153.19999999999999</v>
      </c>
      <c r="Z84" s="4">
        <f t="shared" si="29"/>
        <v>1.9458559195223105E-2</v>
      </c>
      <c r="AA84" s="4">
        <f t="shared" si="30"/>
        <v>68.233333333333334</v>
      </c>
      <c r="AB84" s="4">
        <f t="shared" si="31"/>
        <v>0.58062369583050644</v>
      </c>
      <c r="AC84" s="4">
        <f t="shared" si="32"/>
        <v>2.2452369320957497</v>
      </c>
      <c r="AD84" s="4">
        <f t="shared" si="33"/>
        <v>0.58094966364206668</v>
      </c>
      <c r="AE84" s="4">
        <f t="shared" si="34"/>
        <v>9</v>
      </c>
      <c r="AF84" s="4">
        <f t="shared" si="35"/>
        <v>9.0721842325302934E-2</v>
      </c>
      <c r="AG84" s="4">
        <f t="shared" si="36"/>
        <v>1.19</v>
      </c>
      <c r="AH84" s="4">
        <f t="shared" si="37"/>
        <v>1.1884147582967195E-2</v>
      </c>
      <c r="AI84" s="4">
        <f t="shared" si="38"/>
        <v>1.5375000000000001</v>
      </c>
      <c r="AJ84" s="4">
        <f t="shared" si="39"/>
        <v>9.9000223999276535E-2</v>
      </c>
      <c r="AK84" s="4">
        <v>1</v>
      </c>
    </row>
    <row r="85" spans="1:37" x14ac:dyDescent="0.2">
      <c r="A85" s="4">
        <v>0</v>
      </c>
      <c r="B85" s="4">
        <v>0</v>
      </c>
      <c r="C85" s="4">
        <v>0</v>
      </c>
      <c r="D85" s="4">
        <v>0</v>
      </c>
      <c r="E85" s="4">
        <v>0</v>
      </c>
      <c r="F85" s="4">
        <f t="shared" si="40"/>
        <v>0.33333333333333331</v>
      </c>
      <c r="G85" s="4">
        <f t="shared" si="40"/>
        <v>0.33333333333333331</v>
      </c>
      <c r="H85" s="4">
        <f t="shared" si="40"/>
        <v>0.33333333333333331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0.5</v>
      </c>
      <c r="P85" s="4">
        <f>1/6</f>
        <v>0.16666666666666666</v>
      </c>
      <c r="Q85" s="4">
        <f>1/6</f>
        <v>0.16666666666666666</v>
      </c>
      <c r="R85" s="4">
        <f>1/6</f>
        <v>0.16666666666666666</v>
      </c>
      <c r="S85" s="4">
        <f t="shared" si="22"/>
        <v>105.5</v>
      </c>
      <c r="T85" s="4">
        <f t="shared" si="23"/>
        <v>1.7850801759021217E-2</v>
      </c>
      <c r="U85" s="4">
        <f t="shared" si="24"/>
        <v>65.583333333333343</v>
      </c>
      <c r="V85" s="4">
        <f t="shared" si="25"/>
        <v>7.8667378359156825E-2</v>
      </c>
      <c r="W85" s="4">
        <f t="shared" si="26"/>
        <v>8.0667264372498784E-2</v>
      </c>
      <c r="X85" s="4">
        <f t="shared" si="27"/>
        <v>1.6086404066073696</v>
      </c>
      <c r="Y85" s="4">
        <f t="shared" si="28"/>
        <v>153.19999999999999</v>
      </c>
      <c r="Z85" s="4">
        <f t="shared" si="29"/>
        <v>1.9458559195223105E-2</v>
      </c>
      <c r="AA85" s="4">
        <f t="shared" si="30"/>
        <v>88.566666666666677</v>
      </c>
      <c r="AB85" s="4">
        <f t="shared" si="31"/>
        <v>0.54293589524049302</v>
      </c>
      <c r="AC85" s="4">
        <f t="shared" si="32"/>
        <v>1.7297704177643956</v>
      </c>
      <c r="AD85" s="4">
        <f t="shared" si="33"/>
        <v>0.54328447600363994</v>
      </c>
      <c r="AE85" s="4">
        <f t="shared" si="34"/>
        <v>9</v>
      </c>
      <c r="AF85" s="4">
        <f t="shared" si="35"/>
        <v>9.0721842325302934E-2</v>
      </c>
      <c r="AG85" s="4">
        <f t="shared" si="36"/>
        <v>1.19</v>
      </c>
      <c r="AH85" s="4">
        <f t="shared" si="37"/>
        <v>1.1884147582967195E-2</v>
      </c>
      <c r="AI85" s="4">
        <f t="shared" si="38"/>
        <v>1.5350000000000004</v>
      </c>
      <c r="AJ85" s="4">
        <f t="shared" si="39"/>
        <v>0.14021656840410993</v>
      </c>
      <c r="AK85" s="4">
        <v>1</v>
      </c>
    </row>
    <row r="86" spans="1:37" x14ac:dyDescent="0.2">
      <c r="A86" s="4">
        <v>0</v>
      </c>
      <c r="B86" s="4">
        <v>0</v>
      </c>
      <c r="C86" s="4">
        <v>0</v>
      </c>
      <c r="D86" s="4">
        <v>0</v>
      </c>
      <c r="E86" s="4">
        <v>0</v>
      </c>
      <c r="F86" s="4">
        <f t="shared" si="40"/>
        <v>0.33333333333333331</v>
      </c>
      <c r="G86" s="4">
        <f t="shared" si="40"/>
        <v>0.33333333333333331</v>
      </c>
      <c r="H86" s="4">
        <f t="shared" si="40"/>
        <v>0.33333333333333331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0.25</v>
      </c>
      <c r="P86" s="4">
        <v>0.25</v>
      </c>
      <c r="Q86" s="4">
        <v>0.25</v>
      </c>
      <c r="R86" s="4">
        <v>0.25</v>
      </c>
      <c r="S86" s="4">
        <f t="shared" si="22"/>
        <v>105.5</v>
      </c>
      <c r="T86" s="4">
        <f t="shared" si="23"/>
        <v>1.7850801759021217E-2</v>
      </c>
      <c r="U86" s="4">
        <f t="shared" si="24"/>
        <v>68.125</v>
      </c>
      <c r="V86" s="4">
        <f t="shared" si="25"/>
        <v>6.6537483906307329E-2</v>
      </c>
      <c r="W86" s="4">
        <f t="shared" si="26"/>
        <v>6.8890404905342095E-2</v>
      </c>
      <c r="X86" s="4">
        <f t="shared" si="27"/>
        <v>1.5486238532110093</v>
      </c>
      <c r="Y86" s="4">
        <f t="shared" si="28"/>
        <v>153.19999999999999</v>
      </c>
      <c r="Z86" s="4">
        <f t="shared" si="29"/>
        <v>1.9458559195223105E-2</v>
      </c>
      <c r="AA86" s="4">
        <f t="shared" si="30"/>
        <v>108.89999999999999</v>
      </c>
      <c r="AB86" s="4">
        <f t="shared" si="31"/>
        <v>0.43344704696418507</v>
      </c>
      <c r="AC86" s="4">
        <f t="shared" si="32"/>
        <v>1.4067952249770432</v>
      </c>
      <c r="AD86" s="4">
        <f t="shared" si="33"/>
        <v>0.43388359965309414</v>
      </c>
      <c r="AE86" s="4">
        <f t="shared" si="34"/>
        <v>9</v>
      </c>
      <c r="AF86" s="4">
        <f t="shared" si="35"/>
        <v>9.0721842325302934E-2</v>
      </c>
      <c r="AG86" s="4">
        <f t="shared" si="36"/>
        <v>1.19</v>
      </c>
      <c r="AH86" s="4">
        <f t="shared" si="37"/>
        <v>1.1884147582967195E-2</v>
      </c>
      <c r="AI86" s="4">
        <f t="shared" si="38"/>
        <v>1.5325</v>
      </c>
      <c r="AJ86" s="4">
        <f t="shared" si="39"/>
        <v>0.1719864605951606</v>
      </c>
      <c r="AK86" s="4">
        <v>1</v>
      </c>
    </row>
    <row r="87" spans="1:37" x14ac:dyDescent="0.2">
      <c r="A87" s="4">
        <v>0</v>
      </c>
      <c r="B87" s="4">
        <v>0</v>
      </c>
      <c r="C87" s="4">
        <v>0</v>
      </c>
      <c r="D87" s="4">
        <v>0</v>
      </c>
      <c r="E87" s="4">
        <v>0</v>
      </c>
      <c r="F87" s="4">
        <f t="shared" si="40"/>
        <v>0.33333333333333331</v>
      </c>
      <c r="G87" s="4">
        <f t="shared" si="40"/>
        <v>0.33333333333333331</v>
      </c>
      <c r="H87" s="4">
        <f t="shared" si="40"/>
        <v>0.33333333333333331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f>1/3</f>
        <v>0.33333333333333331</v>
      </c>
      <c r="Q87" s="4">
        <f>1/3</f>
        <v>0.33333333333333331</v>
      </c>
      <c r="R87" s="4">
        <f>1/3</f>
        <v>0.33333333333333331</v>
      </c>
      <c r="S87" s="4">
        <f t="shared" si="22"/>
        <v>105.5</v>
      </c>
      <c r="T87" s="4">
        <f t="shared" si="23"/>
        <v>1.7850801759021217E-2</v>
      </c>
      <c r="U87" s="4">
        <f t="shared" si="24"/>
        <v>70.666666666666657</v>
      </c>
      <c r="V87" s="4">
        <f t="shared" si="25"/>
        <v>1.7649327296103502E-2</v>
      </c>
      <c r="W87" s="4">
        <f t="shared" si="26"/>
        <v>2.5102786248638997E-2</v>
      </c>
      <c r="X87" s="4">
        <f t="shared" si="27"/>
        <v>1.492924528301887</v>
      </c>
      <c r="Y87" s="4">
        <f t="shared" si="28"/>
        <v>153.19999999999999</v>
      </c>
      <c r="Z87" s="4">
        <f t="shared" si="29"/>
        <v>1.9458559195223105E-2</v>
      </c>
      <c r="AA87" s="4">
        <f t="shared" si="30"/>
        <v>129.23333333333332</v>
      </c>
      <c r="AB87" s="4">
        <f t="shared" si="31"/>
        <v>0.28081112586916562</v>
      </c>
      <c r="AC87" s="4">
        <f t="shared" si="32"/>
        <v>1.185452669589889</v>
      </c>
      <c r="AD87" s="4">
        <f t="shared" si="33"/>
        <v>0.28148450035101824</v>
      </c>
      <c r="AE87" s="4">
        <f t="shared" si="34"/>
        <v>9</v>
      </c>
      <c r="AF87" s="4">
        <f t="shared" si="35"/>
        <v>9.0721842325302934E-2</v>
      </c>
      <c r="AG87" s="4">
        <f t="shared" si="36"/>
        <v>1.19</v>
      </c>
      <c r="AH87" s="4">
        <f t="shared" si="37"/>
        <v>1.1884147582967195E-2</v>
      </c>
      <c r="AI87" s="4">
        <f t="shared" si="38"/>
        <v>1.53</v>
      </c>
      <c r="AJ87" s="4">
        <f t="shared" si="39"/>
        <v>0.19889051051899262</v>
      </c>
      <c r="AK87" s="4">
        <v>1</v>
      </c>
    </row>
    <row r="88" spans="1:37" x14ac:dyDescent="0.2">
      <c r="A88" s="4">
        <v>0</v>
      </c>
      <c r="B88" s="4">
        <v>0</v>
      </c>
      <c r="C88" s="4">
        <v>0</v>
      </c>
      <c r="D88" s="4">
        <v>0</v>
      </c>
      <c r="E88" s="4">
        <v>0</v>
      </c>
      <c r="F88" s="4">
        <f t="shared" si="40"/>
        <v>0.33333333333333331</v>
      </c>
      <c r="G88" s="4">
        <f t="shared" si="40"/>
        <v>0.33333333333333331</v>
      </c>
      <c r="H88" s="4">
        <f t="shared" si="40"/>
        <v>0.33333333333333331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0.5</v>
      </c>
      <c r="P88" s="4">
        <v>0.5</v>
      </c>
      <c r="Q88" s="4">
        <v>0</v>
      </c>
      <c r="R88" s="4">
        <v>0</v>
      </c>
      <c r="S88" s="4">
        <f t="shared" si="22"/>
        <v>105.5</v>
      </c>
      <c r="T88" s="4">
        <f t="shared" si="23"/>
        <v>1.7850801759021217E-2</v>
      </c>
      <c r="U88" s="4">
        <f t="shared" si="24"/>
        <v>66.25</v>
      </c>
      <c r="V88" s="4">
        <f t="shared" si="25"/>
        <v>8.679245283018866E-2</v>
      </c>
      <c r="W88" s="4">
        <f t="shared" si="26"/>
        <v>8.860914733660627E-2</v>
      </c>
      <c r="X88" s="4">
        <f t="shared" si="27"/>
        <v>1.5924528301886793</v>
      </c>
      <c r="Y88" s="4">
        <f t="shared" si="28"/>
        <v>153.19999999999999</v>
      </c>
      <c r="Z88" s="4">
        <f t="shared" si="29"/>
        <v>1.9458559195223105E-2</v>
      </c>
      <c r="AA88" s="4">
        <f t="shared" si="30"/>
        <v>69.45</v>
      </c>
      <c r="AB88" s="4">
        <f t="shared" si="31"/>
        <v>0.3102951763858891</v>
      </c>
      <c r="AC88" s="4">
        <f t="shared" si="32"/>
        <v>2.2059035277177825</v>
      </c>
      <c r="AD88" s="4">
        <f t="shared" si="33"/>
        <v>0.31090469924770198</v>
      </c>
      <c r="AE88" s="4">
        <f t="shared" si="34"/>
        <v>9</v>
      </c>
      <c r="AF88" s="4">
        <f t="shared" si="35"/>
        <v>9.0721842325302934E-2</v>
      </c>
      <c r="AG88" s="4">
        <f t="shared" si="36"/>
        <v>1.19</v>
      </c>
      <c r="AH88" s="4">
        <f t="shared" si="37"/>
        <v>1.1884147582967195E-2</v>
      </c>
      <c r="AI88" s="4">
        <f t="shared" si="38"/>
        <v>1.4350000000000001</v>
      </c>
      <c r="AJ88" s="4">
        <f t="shared" si="39"/>
        <v>7.3170731707317083E-2</v>
      </c>
      <c r="AK88" s="4">
        <v>1</v>
      </c>
    </row>
    <row r="89" spans="1:37" x14ac:dyDescent="0.2">
      <c r="A89" s="4">
        <v>0</v>
      </c>
      <c r="B89" s="4">
        <v>0</v>
      </c>
      <c r="C89" s="4">
        <v>0</v>
      </c>
      <c r="D89" s="4">
        <v>0</v>
      </c>
      <c r="E89" s="4">
        <v>0</v>
      </c>
      <c r="F89" s="4">
        <f t="shared" si="40"/>
        <v>0.33333333333333331</v>
      </c>
      <c r="G89" s="4">
        <f t="shared" si="40"/>
        <v>0.33333333333333331</v>
      </c>
      <c r="H89" s="4">
        <f t="shared" si="40"/>
        <v>0.33333333333333331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1</v>
      </c>
      <c r="Q89" s="4">
        <v>0</v>
      </c>
      <c r="R89" s="4">
        <v>0</v>
      </c>
      <c r="S89" s="4">
        <f t="shared" si="22"/>
        <v>105.5</v>
      </c>
      <c r="T89" s="4">
        <f t="shared" si="23"/>
        <v>1.7850801759021217E-2</v>
      </c>
      <c r="U89" s="4">
        <f t="shared" si="24"/>
        <v>72</v>
      </c>
      <c r="V89" s="4">
        <f t="shared" si="25"/>
        <v>0</v>
      </c>
      <c r="W89" s="4">
        <f t="shared" si="26"/>
        <v>1.7850801759021217E-2</v>
      </c>
      <c r="X89" s="4">
        <f t="shared" si="27"/>
        <v>1.4652777777777777</v>
      </c>
      <c r="Y89" s="4">
        <f t="shared" si="28"/>
        <v>153.19999999999999</v>
      </c>
      <c r="Z89" s="4">
        <f t="shared" si="29"/>
        <v>1.9458559195223105E-2</v>
      </c>
      <c r="AA89" s="4">
        <f t="shared" si="30"/>
        <v>91</v>
      </c>
      <c r="AB89" s="4">
        <f t="shared" si="31"/>
        <v>0</v>
      </c>
      <c r="AC89" s="4">
        <f t="shared" si="32"/>
        <v>1.6835164835164833</v>
      </c>
      <c r="AD89" s="4">
        <f t="shared" si="33"/>
        <v>1.9458559195223105E-2</v>
      </c>
      <c r="AE89" s="4">
        <f t="shared" si="34"/>
        <v>9</v>
      </c>
      <c r="AF89" s="4">
        <f t="shared" si="35"/>
        <v>9.0721842325302934E-2</v>
      </c>
      <c r="AG89" s="4">
        <f t="shared" si="36"/>
        <v>1.19</v>
      </c>
      <c r="AH89" s="4">
        <f t="shared" si="37"/>
        <v>1.1884147582967195E-2</v>
      </c>
      <c r="AI89" s="4">
        <f t="shared" si="38"/>
        <v>1.33</v>
      </c>
      <c r="AJ89" s="4">
        <f t="shared" si="39"/>
        <v>0</v>
      </c>
      <c r="AK89" s="4">
        <v>1</v>
      </c>
    </row>
    <row r="90" spans="1:37" x14ac:dyDescent="0.2">
      <c r="A90" s="4">
        <v>0</v>
      </c>
      <c r="B90" s="4">
        <v>0</v>
      </c>
      <c r="C90" s="4">
        <v>0</v>
      </c>
      <c r="D90" s="4">
        <v>0</v>
      </c>
      <c r="E90" s="4">
        <v>0</v>
      </c>
      <c r="F90" s="4">
        <f t="shared" si="40"/>
        <v>0.33333333333333331</v>
      </c>
      <c r="G90" s="4">
        <f t="shared" si="40"/>
        <v>0.33333333333333331</v>
      </c>
      <c r="H90" s="4">
        <f t="shared" si="40"/>
        <v>0.33333333333333331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0.5</v>
      </c>
      <c r="Q90" s="4">
        <v>0.5</v>
      </c>
      <c r="R90" s="4">
        <v>0</v>
      </c>
      <c r="S90" s="4">
        <f t="shared" si="22"/>
        <v>105.5</v>
      </c>
      <c r="T90" s="4">
        <f t="shared" si="23"/>
        <v>1.7850801759021217E-2</v>
      </c>
      <c r="U90" s="4">
        <f t="shared" si="24"/>
        <v>71.5</v>
      </c>
      <c r="V90" s="4">
        <f t="shared" si="25"/>
        <v>6.9930069930070338E-3</v>
      </c>
      <c r="W90" s="4">
        <f t="shared" si="26"/>
        <v>1.9171678858256526E-2</v>
      </c>
      <c r="X90" s="4">
        <f t="shared" si="27"/>
        <v>1.4755244755244756</v>
      </c>
      <c r="Y90" s="4">
        <f t="shared" si="28"/>
        <v>153.19999999999999</v>
      </c>
      <c r="Z90" s="4">
        <f t="shared" si="29"/>
        <v>1.9458559195223105E-2</v>
      </c>
      <c r="AA90" s="4">
        <f t="shared" si="30"/>
        <v>134.5</v>
      </c>
      <c r="AB90" s="4">
        <f t="shared" si="31"/>
        <v>0.32342007434944242</v>
      </c>
      <c r="AC90" s="4">
        <f t="shared" si="32"/>
        <v>1.1390334572490706</v>
      </c>
      <c r="AD90" s="4">
        <f t="shared" si="33"/>
        <v>0.32400490739825666</v>
      </c>
      <c r="AE90" s="4">
        <f t="shared" si="34"/>
        <v>9</v>
      </c>
      <c r="AF90" s="4">
        <f t="shared" si="35"/>
        <v>9.0721842325302934E-2</v>
      </c>
      <c r="AG90" s="4">
        <f t="shared" si="36"/>
        <v>1.19</v>
      </c>
      <c r="AH90" s="4">
        <f t="shared" si="37"/>
        <v>1.1884147582967195E-2</v>
      </c>
      <c r="AI90" s="4">
        <f t="shared" si="38"/>
        <v>1.3149999999999999</v>
      </c>
      <c r="AJ90" s="4">
        <f t="shared" si="39"/>
        <v>1.1406844106463809E-2</v>
      </c>
      <c r="AK90" s="4">
        <v>1</v>
      </c>
    </row>
    <row r="91" spans="1:37" x14ac:dyDescent="0.2">
      <c r="A91" s="4">
        <v>0</v>
      </c>
      <c r="B91" s="4">
        <v>0</v>
      </c>
      <c r="C91" s="4">
        <v>0</v>
      </c>
      <c r="D91" s="4">
        <v>0</v>
      </c>
      <c r="E91" s="4">
        <v>0</v>
      </c>
      <c r="F91" s="4">
        <v>0.5</v>
      </c>
      <c r="G91" s="4">
        <v>0</v>
      </c>
      <c r="H91" s="4">
        <v>0.5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f>1/3</f>
        <v>0.33333333333333331</v>
      </c>
      <c r="Q91" s="4">
        <f>1/3</f>
        <v>0.33333333333333331</v>
      </c>
      <c r="R91" s="4">
        <f>1/3</f>
        <v>0.33333333333333331</v>
      </c>
      <c r="S91" s="4">
        <f t="shared" si="22"/>
        <v>106.6</v>
      </c>
      <c r="T91" s="4">
        <f t="shared" si="23"/>
        <v>1.2195121951219523E-2</v>
      </c>
      <c r="U91" s="4">
        <f t="shared" si="24"/>
        <v>70.666666666666657</v>
      </c>
      <c r="V91" s="4">
        <f t="shared" si="25"/>
        <v>1.7649327296103502E-2</v>
      </c>
      <c r="W91" s="4">
        <f t="shared" si="26"/>
        <v>2.1452733005612606E-2</v>
      </c>
      <c r="X91" s="4">
        <f t="shared" si="27"/>
        <v>1.5084905660377359</v>
      </c>
      <c r="Y91" s="4">
        <f t="shared" si="28"/>
        <v>153.80000000000001</v>
      </c>
      <c r="Z91" s="4">
        <f t="shared" si="29"/>
        <v>2.2756827048114436E-2</v>
      </c>
      <c r="AA91" s="4">
        <f t="shared" si="30"/>
        <v>129.23333333333332</v>
      </c>
      <c r="AB91" s="4">
        <f t="shared" si="31"/>
        <v>0.28081112586916562</v>
      </c>
      <c r="AC91" s="4">
        <f t="shared" si="32"/>
        <v>1.1900954346143928</v>
      </c>
      <c r="AD91" s="4">
        <f t="shared" si="33"/>
        <v>0.28173171917483159</v>
      </c>
      <c r="AE91" s="4">
        <f t="shared" si="34"/>
        <v>9</v>
      </c>
      <c r="AF91" s="4">
        <f t="shared" si="35"/>
        <v>0.11111111111111116</v>
      </c>
      <c r="AG91" s="4">
        <f t="shared" si="36"/>
        <v>1.1850000000000001</v>
      </c>
      <c r="AH91" s="4">
        <f t="shared" si="37"/>
        <v>1.2658227848101222E-2</v>
      </c>
      <c r="AI91" s="4">
        <f t="shared" si="38"/>
        <v>1.53</v>
      </c>
      <c r="AJ91" s="4">
        <f t="shared" si="39"/>
        <v>0.19889051051899262</v>
      </c>
      <c r="AK91" s="4">
        <v>1</v>
      </c>
    </row>
    <row r="92" spans="1:37" x14ac:dyDescent="0.2">
      <c r="A92" s="4">
        <v>0</v>
      </c>
      <c r="B92" s="4">
        <v>0</v>
      </c>
      <c r="C92" s="4">
        <v>0</v>
      </c>
      <c r="D92" s="4">
        <v>0</v>
      </c>
      <c r="E92" s="4">
        <v>0</v>
      </c>
      <c r="F92" s="4">
        <v>0.5</v>
      </c>
      <c r="G92" s="4">
        <v>0</v>
      </c>
      <c r="H92" s="4">
        <v>0.5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f>1/3</f>
        <v>0.33333333333333331</v>
      </c>
      <c r="P92" s="4">
        <f>1/3</f>
        <v>0.33333333333333331</v>
      </c>
      <c r="Q92" s="4">
        <f>1/3</f>
        <v>0.33333333333333331</v>
      </c>
      <c r="R92" s="4">
        <v>0</v>
      </c>
      <c r="S92" s="4">
        <f t="shared" si="22"/>
        <v>106.6</v>
      </c>
      <c r="T92" s="4">
        <f t="shared" si="23"/>
        <v>1.2195121951219523E-2</v>
      </c>
      <c r="U92" s="4">
        <f t="shared" si="24"/>
        <v>67.833333333333329</v>
      </c>
      <c r="V92" s="4">
        <f t="shared" si="25"/>
        <v>7.6680523510207543E-2</v>
      </c>
      <c r="W92" s="4">
        <f t="shared" si="26"/>
        <v>7.764421218097721E-2</v>
      </c>
      <c r="X92" s="4">
        <f t="shared" si="27"/>
        <v>1.5714987714987716</v>
      </c>
      <c r="Y92" s="4">
        <f t="shared" si="28"/>
        <v>153.80000000000001</v>
      </c>
      <c r="Z92" s="4">
        <f t="shared" si="29"/>
        <v>2.2756827048114436E-2</v>
      </c>
      <c r="AA92" s="4">
        <f t="shared" si="30"/>
        <v>105.63333333333333</v>
      </c>
      <c r="AB92" s="4">
        <f t="shared" si="31"/>
        <v>0.51225907461452158</v>
      </c>
      <c r="AC92" s="4">
        <f t="shared" si="32"/>
        <v>1.4559798043546863</v>
      </c>
      <c r="AD92" s="4">
        <f t="shared" si="33"/>
        <v>0.51276430521461203</v>
      </c>
      <c r="AE92" s="4">
        <f t="shared" si="34"/>
        <v>9</v>
      </c>
      <c r="AF92" s="4">
        <f t="shared" si="35"/>
        <v>0.11111111111111116</v>
      </c>
      <c r="AG92" s="4">
        <f t="shared" si="36"/>
        <v>1.1850000000000001</v>
      </c>
      <c r="AH92" s="4">
        <f t="shared" si="37"/>
        <v>1.2658227848101222E-2</v>
      </c>
      <c r="AI92" s="4">
        <f t="shared" si="38"/>
        <v>1.3900000000000001</v>
      </c>
      <c r="AJ92" s="4">
        <f t="shared" si="39"/>
        <v>7.6813512604541834E-2</v>
      </c>
      <c r="AK92" s="4">
        <v>1</v>
      </c>
    </row>
    <row r="93" spans="1:37" x14ac:dyDescent="0.2">
      <c r="A93" s="4">
        <v>0</v>
      </c>
      <c r="B93" s="4">
        <v>0</v>
      </c>
      <c r="C93" s="4">
        <v>0</v>
      </c>
      <c r="D93" s="4">
        <v>0</v>
      </c>
      <c r="E93" s="4">
        <v>0</v>
      </c>
      <c r="F93" s="4">
        <v>0.75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0.25</v>
      </c>
      <c r="N93" s="4">
        <v>0</v>
      </c>
      <c r="O93" s="4">
        <v>0.5</v>
      </c>
      <c r="P93" s="4">
        <v>0.5</v>
      </c>
      <c r="Q93" s="4">
        <v>0</v>
      </c>
      <c r="R93" s="4">
        <v>0</v>
      </c>
      <c r="S93" s="4">
        <f t="shared" si="22"/>
        <v>105.55000000000001</v>
      </c>
      <c r="T93" s="4">
        <f t="shared" si="23"/>
        <v>3.8562950239572374E-2</v>
      </c>
      <c r="U93" s="4">
        <f t="shared" si="24"/>
        <v>66.25</v>
      </c>
      <c r="V93" s="4">
        <f t="shared" si="25"/>
        <v>8.679245283018866E-2</v>
      </c>
      <c r="W93" s="4">
        <f t="shared" si="26"/>
        <v>9.4973843764797991E-2</v>
      </c>
      <c r="X93" s="4">
        <f t="shared" si="27"/>
        <v>1.5932075471698115</v>
      </c>
      <c r="Y93" s="4">
        <f t="shared" si="28"/>
        <v>155.97500000000002</v>
      </c>
      <c r="Z93" s="4">
        <f t="shared" si="29"/>
        <v>6.301899876873461E-2</v>
      </c>
      <c r="AA93" s="4">
        <f t="shared" si="30"/>
        <v>69.45</v>
      </c>
      <c r="AB93" s="4">
        <f t="shared" si="31"/>
        <v>0.3102951763858891</v>
      </c>
      <c r="AC93" s="4">
        <f t="shared" si="32"/>
        <v>2.2458603311735064</v>
      </c>
      <c r="AD93" s="4">
        <f t="shared" si="33"/>
        <v>0.31662989545234638</v>
      </c>
      <c r="AE93" s="4">
        <f t="shared" si="34"/>
        <v>10</v>
      </c>
      <c r="AF93" s="4">
        <f t="shared" si="35"/>
        <v>0.34641016151377546</v>
      </c>
      <c r="AG93" s="4">
        <f t="shared" si="36"/>
        <v>1.1524999999999999</v>
      </c>
      <c r="AH93" s="4">
        <f t="shared" si="37"/>
        <v>2.6300120722304008E-2</v>
      </c>
      <c r="AI93" s="4">
        <f t="shared" si="38"/>
        <v>1.4350000000000001</v>
      </c>
      <c r="AJ93" s="4">
        <f t="shared" si="39"/>
        <v>7.3170731707317083E-2</v>
      </c>
      <c r="AK93" s="4">
        <v>1</v>
      </c>
    </row>
    <row r="94" spans="1:37" x14ac:dyDescent="0.2">
      <c r="A94" s="4">
        <v>0</v>
      </c>
      <c r="B94" s="4">
        <v>0</v>
      </c>
      <c r="C94" s="4">
        <v>0</v>
      </c>
      <c r="D94" s="4">
        <v>0</v>
      </c>
      <c r="E94" s="4">
        <v>0</v>
      </c>
      <c r="F94" s="4">
        <v>1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1</v>
      </c>
      <c r="S94" s="4">
        <f t="shared" si="22"/>
        <v>107.9</v>
      </c>
      <c r="T94" s="4">
        <f t="shared" si="23"/>
        <v>0</v>
      </c>
      <c r="U94" s="4">
        <f t="shared" si="24"/>
        <v>69</v>
      </c>
      <c r="V94" s="4">
        <f>SQRT(O94*(1-(60.5/U94))^2+P94*(1-(72/U94))^2+Q94*(1-(71/U94))^2+R94*(1-(69/U94))^2)</f>
        <v>0</v>
      </c>
      <c r="W94" s="4">
        <f t="shared" si="26"/>
        <v>0</v>
      </c>
      <c r="X94" s="4">
        <f t="shared" si="27"/>
        <v>1.5637681159420291</v>
      </c>
      <c r="Y94" s="4">
        <f t="shared" si="28"/>
        <v>150.30000000000001</v>
      </c>
      <c r="Z94" s="4">
        <f t="shared" si="29"/>
        <v>0</v>
      </c>
      <c r="AA94" s="4">
        <f t="shared" si="30"/>
        <v>118.7</v>
      </c>
      <c r="AB94" s="4">
        <f t="shared" si="31"/>
        <v>0</v>
      </c>
      <c r="AC94" s="4">
        <f t="shared" si="32"/>
        <v>1.266217354675653</v>
      </c>
      <c r="AD94" s="4">
        <f t="shared" si="33"/>
        <v>0</v>
      </c>
      <c r="AE94" s="4">
        <f t="shared" si="34"/>
        <v>8</v>
      </c>
      <c r="AF94" s="4">
        <f t="shared" si="35"/>
        <v>0</v>
      </c>
      <c r="AG94" s="4">
        <f t="shared" si="36"/>
        <v>1.17</v>
      </c>
      <c r="AH94" s="4">
        <f t="shared" si="37"/>
        <v>0</v>
      </c>
      <c r="AI94" s="4">
        <f t="shared" si="38"/>
        <v>1.96</v>
      </c>
      <c r="AJ94" s="4">
        <f t="shared" si="39"/>
        <v>0</v>
      </c>
      <c r="AK94" s="4">
        <v>1</v>
      </c>
    </row>
    <row r="95" spans="1:37" x14ac:dyDescent="0.2">
      <c r="A95" s="4">
        <v>0</v>
      </c>
      <c r="B95" s="4">
        <v>0</v>
      </c>
      <c r="C95" s="4">
        <v>0</v>
      </c>
      <c r="D95" s="4">
        <v>0</v>
      </c>
      <c r="E95" s="4">
        <v>0</v>
      </c>
      <c r="F95" s="4">
        <v>1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1</v>
      </c>
      <c r="P95" s="4">
        <v>0</v>
      </c>
      <c r="Q95" s="4">
        <v>0</v>
      </c>
      <c r="R95" s="4">
        <v>0</v>
      </c>
      <c r="S95" s="4">
        <f t="shared" si="22"/>
        <v>107.9</v>
      </c>
      <c r="T95" s="4">
        <f t="shared" si="23"/>
        <v>0</v>
      </c>
      <c r="U95" s="4">
        <f t="shared" si="24"/>
        <v>60.5</v>
      </c>
      <c r="V95" s="4">
        <f t="shared" si="25"/>
        <v>0</v>
      </c>
      <c r="W95" s="4">
        <f t="shared" si="26"/>
        <v>0</v>
      </c>
      <c r="X95" s="4">
        <f t="shared" si="27"/>
        <v>1.7834710743801654</v>
      </c>
      <c r="Y95" s="4">
        <f t="shared" si="28"/>
        <v>150.30000000000001</v>
      </c>
      <c r="Z95" s="4">
        <f>SQRT(A95*(1-(88.9/Y95))^2+B95*(1-(138.9/Y95))^2+C95*(1-(140.1/Y95))^2+D95*(1-(140.9/Y95))^2+E95*(1-(144.2/Y95))^2+F95*(1-(150.3/Y95))^2+G95*(1-(152/Y95))^2+H95*(1-(157.3/Y95))^2+I95*(1-(158.9/Y95))^2+J95*(1-(162.5/Y95))^2+K95*(1-(164.9/Y95))^2+L95*(1-(167.3/Y95))^2+M95*(1-(173/Y95))^2+N95*(1-(175/Y95))^2)</f>
        <v>0</v>
      </c>
      <c r="AA95" s="4">
        <f t="shared" si="30"/>
        <v>47.9</v>
      </c>
      <c r="AB95" s="4">
        <f t="shared" si="31"/>
        <v>0</v>
      </c>
      <c r="AC95" s="4">
        <f t="shared" si="32"/>
        <v>3.1377870563674324</v>
      </c>
      <c r="AD95" s="4">
        <f t="shared" si="33"/>
        <v>0</v>
      </c>
      <c r="AE95" s="4">
        <f t="shared" si="34"/>
        <v>8</v>
      </c>
      <c r="AF95" s="4">
        <f t="shared" si="35"/>
        <v>0</v>
      </c>
      <c r="AG95" s="4">
        <f t="shared" si="36"/>
        <v>1.17</v>
      </c>
      <c r="AH95" s="4">
        <f t="shared" si="37"/>
        <v>0</v>
      </c>
      <c r="AI95" s="4">
        <f t="shared" si="38"/>
        <v>1.54</v>
      </c>
      <c r="AJ95" s="4">
        <f t="shared" si="39"/>
        <v>0</v>
      </c>
      <c r="AK95" s="4">
        <v>0</v>
      </c>
    </row>
    <row r="96" spans="1:37" x14ac:dyDescent="0.2">
      <c r="A96" s="4">
        <v>0</v>
      </c>
      <c r="B96" s="4">
        <v>0</v>
      </c>
      <c r="C96" s="4">
        <v>0</v>
      </c>
      <c r="D96" s="4">
        <v>0</v>
      </c>
      <c r="E96" s="4">
        <v>0</v>
      </c>
      <c r="F96" s="4">
        <v>1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0.25</v>
      </c>
      <c r="P96" s="4">
        <v>0.25</v>
      </c>
      <c r="Q96" s="4">
        <v>0.25</v>
      </c>
      <c r="R96" s="4">
        <v>0.25</v>
      </c>
      <c r="S96" s="4">
        <f t="shared" si="22"/>
        <v>107.9</v>
      </c>
      <c r="T96" s="4">
        <f t="shared" si="23"/>
        <v>0</v>
      </c>
      <c r="U96" s="4">
        <f t="shared" si="24"/>
        <v>68.125</v>
      </c>
      <c r="V96" s="4">
        <f t="shared" si="25"/>
        <v>6.6537483906307329E-2</v>
      </c>
      <c r="W96" s="4">
        <f t="shared" si="26"/>
        <v>6.6537483906307329E-2</v>
      </c>
      <c r="X96" s="4">
        <f t="shared" si="27"/>
        <v>1.5838532110091743</v>
      </c>
      <c r="Y96" s="4">
        <f t="shared" si="28"/>
        <v>150.30000000000001</v>
      </c>
      <c r="Z96" s="4">
        <f t="shared" si="29"/>
        <v>0</v>
      </c>
      <c r="AA96" s="4">
        <f t="shared" si="30"/>
        <v>108.89999999999999</v>
      </c>
      <c r="AB96" s="4">
        <f t="shared" si="31"/>
        <v>0.43344704696418507</v>
      </c>
      <c r="AC96" s="4">
        <f t="shared" si="32"/>
        <v>1.3801652892561986</v>
      </c>
      <c r="AD96" s="4">
        <f t="shared" si="33"/>
        <v>0.43344704696418507</v>
      </c>
      <c r="AE96" s="4">
        <f t="shared" si="34"/>
        <v>8</v>
      </c>
      <c r="AF96" s="4">
        <f t="shared" si="35"/>
        <v>0</v>
      </c>
      <c r="AG96" s="4">
        <f t="shared" si="36"/>
        <v>1.17</v>
      </c>
      <c r="AH96" s="4">
        <f t="shared" si="37"/>
        <v>0</v>
      </c>
      <c r="AI96" s="4">
        <f t="shared" si="38"/>
        <v>1.5325</v>
      </c>
      <c r="AJ96" s="4">
        <f t="shared" si="39"/>
        <v>0.1719864605951606</v>
      </c>
      <c r="AK96" s="4">
        <v>1</v>
      </c>
    </row>
    <row r="97" spans="1:37" x14ac:dyDescent="0.2">
      <c r="A97" s="4">
        <v>0</v>
      </c>
      <c r="B97" s="4">
        <v>0</v>
      </c>
      <c r="C97" s="4">
        <v>0</v>
      </c>
      <c r="D97" s="4">
        <v>0</v>
      </c>
      <c r="E97" s="4">
        <v>0</v>
      </c>
      <c r="F97" s="4">
        <v>1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1</v>
      </c>
      <c r="Q97" s="4">
        <v>0</v>
      </c>
      <c r="R97" s="4">
        <v>0</v>
      </c>
      <c r="S97" s="4">
        <f t="shared" si="22"/>
        <v>107.9</v>
      </c>
      <c r="T97" s="4">
        <f t="shared" si="23"/>
        <v>0</v>
      </c>
      <c r="U97" s="4">
        <f t="shared" si="24"/>
        <v>72</v>
      </c>
      <c r="V97" s="4">
        <f t="shared" si="25"/>
        <v>0</v>
      </c>
      <c r="W97" s="4">
        <f t="shared" si="26"/>
        <v>0</v>
      </c>
      <c r="X97" s="4">
        <f t="shared" si="27"/>
        <v>1.4986111111111111</v>
      </c>
      <c r="Y97" s="4">
        <f t="shared" si="28"/>
        <v>150.30000000000001</v>
      </c>
      <c r="Z97" s="4">
        <f t="shared" si="29"/>
        <v>0</v>
      </c>
      <c r="AA97" s="4">
        <f t="shared" si="30"/>
        <v>91</v>
      </c>
      <c r="AB97" s="4">
        <f t="shared" si="31"/>
        <v>0</v>
      </c>
      <c r="AC97" s="4">
        <f t="shared" si="32"/>
        <v>1.6516483516483518</v>
      </c>
      <c r="AD97" s="4">
        <f t="shared" si="33"/>
        <v>0</v>
      </c>
      <c r="AE97" s="4">
        <f t="shared" si="34"/>
        <v>8</v>
      </c>
      <c r="AF97" s="4">
        <f t="shared" si="35"/>
        <v>0</v>
      </c>
      <c r="AG97" s="4">
        <f t="shared" si="36"/>
        <v>1.17</v>
      </c>
      <c r="AH97" s="4">
        <f t="shared" si="37"/>
        <v>0</v>
      </c>
      <c r="AI97" s="4">
        <f t="shared" si="38"/>
        <v>1.33</v>
      </c>
      <c r="AJ97" s="4">
        <f t="shared" si="39"/>
        <v>0</v>
      </c>
      <c r="AK97" s="4">
        <v>1</v>
      </c>
    </row>
    <row r="98" spans="1:37" x14ac:dyDescent="0.2">
      <c r="A98" s="4">
        <v>0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1</v>
      </c>
      <c r="O98" s="4">
        <v>0</v>
      </c>
      <c r="P98" s="4">
        <v>0</v>
      </c>
      <c r="Q98" s="4">
        <v>1</v>
      </c>
      <c r="R98" s="4">
        <v>0</v>
      </c>
      <c r="S98" s="4">
        <f t="shared" si="22"/>
        <v>97.8</v>
      </c>
      <c r="T98" s="4">
        <f t="shared" si="23"/>
        <v>0</v>
      </c>
      <c r="U98" s="4">
        <f t="shared" si="24"/>
        <v>71</v>
      </c>
      <c r="V98" s="4">
        <f t="shared" si="25"/>
        <v>0</v>
      </c>
      <c r="W98" s="4">
        <f>SQRT(T98^2+V98^2)</f>
        <v>0</v>
      </c>
      <c r="X98" s="4">
        <f t="shared" si="27"/>
        <v>1.3774647887323943</v>
      </c>
      <c r="Y98" s="4">
        <f t="shared" si="28"/>
        <v>175</v>
      </c>
      <c r="Z98" s="4">
        <f>SQRT(A98*(1-(88.9/Y98))^2+B98*(1-(138.9/Y98))^2+C98*(1-(140.1/Y98))^2+D98*(1-(140.9/Y98))^2+E98*(1-(144.2/Y98))^2+F98*(1-(150.3/Y98))^2+G98*(1-(152/Y98))^2+H98*(1-(157.3/Y98))^2+I98*(1-(158.9/Y98))^2+J98*(1-(162.5/Y98))^2+K98*(1-(164.9/Y98))^2+L98*(1-(167.3/Y98))^2+M98*(1-(173/Y98))^2+N98*(1-(175/Y98))^2)</f>
        <v>0</v>
      </c>
      <c r="AA98" s="4">
        <f t="shared" si="30"/>
        <v>178</v>
      </c>
      <c r="AB98" s="4">
        <f t="shared" si="31"/>
        <v>0</v>
      </c>
      <c r="AC98" s="4">
        <f t="shared" si="32"/>
        <v>0.9831460674157303</v>
      </c>
      <c r="AD98" s="4">
        <f t="shared" si="33"/>
        <v>0</v>
      </c>
      <c r="AE98" s="4">
        <f t="shared" ref="AE98:AE101" si="41">(A98*3+B98*3+C98*4+D98*5+E98*6+F98*8+G98*9+H98*10+I98*11+J98*12+K98*13+L98*14+M98*16+N98*3)/(SUM(A98:N98))</f>
        <v>3</v>
      </c>
      <c r="AF98" s="4">
        <f t="shared" ref="AF98:AF101" si="42">SQRT(A98*(1-(3/AE98))^2+B98*(1-(3/AE98))^2+C98*(1-(4/AE98))^2+D98*(1-(5/AE98))^2+E98*(1-(6/AE98))^2+F98*(1-(8/AE98))^2+G98*(1-(9/AE98))^2+H98*(1-(10/AE98))^2+I98*(1-(11/AE98))^2+J98*(1-(12/AE98))^2+K98*(1-(13/AE98))^2+L98*(1-(14/AE98))^2+M98*(1-(16/AE98))^2+N98*(1-(3/AE98))^2)</f>
        <v>0</v>
      </c>
      <c r="AG98" s="4">
        <f t="shared" ref="AG98:AG101" si="43">(A98*1.22+B98*1.1+C98*1.12+D98*1.13+E98*1.14+F98*1.17+G98*1.2+H98*1.2+I98*1.22+J98*1.23+K98*1.24+L98*1.24+M98*1.1+N98*1.27)/(SUM(A98:N98))</f>
        <v>1.27</v>
      </c>
      <c r="AH98" s="4">
        <f t="shared" ref="AH98:AH101" si="44">SQRT(A98*(1-(1.22/AG98))^2+B98*(1-(1.1/AG98))^2+C98*(1-(1.12/AG98))^2+D98*(1-(1.13/AG98))^2+E98*(1-(1.14/AG98))^2+F98*(1-(1.17/AG98))^2+G98*(1-(1.2/AG98))^2+H98*(1-(1.2/AG98))^2+I98*(1-(1.22/AG98))^2+J98*(1-(1.23/AG98))^2+K98*(1-(1.24/AG98))^2+L98*(1-(1.24/AG98))^2+M98*(1-(1.1/AG98))^2+N98*(1-(1.27/AG98))^2)</f>
        <v>0</v>
      </c>
      <c r="AI98" s="4">
        <f t="shared" ref="AI98:AI101" si="45">(O98*1.54+P98*1.33+Q98*1.3+R98*1.96)/(SUM(O98:R98))</f>
        <v>1.3</v>
      </c>
      <c r="AJ98" s="4">
        <f t="shared" ref="AJ98:AJ101" si="46">SQRT(O98*(1-(1.54/AI98))^2+P98*(1-(1.33/AI98))^2+Q98*(1-(1.3/AI98))^2+R98*(1-(1.96/AI98))^2)</f>
        <v>0</v>
      </c>
      <c r="AK98" s="4">
        <v>0</v>
      </c>
    </row>
    <row r="99" spans="1:37" x14ac:dyDescent="0.2">
      <c r="A99" s="4">
        <v>0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1</v>
      </c>
      <c r="N99" s="4">
        <v>0</v>
      </c>
      <c r="O99" s="4">
        <v>0</v>
      </c>
      <c r="P99" s="4">
        <v>0</v>
      </c>
      <c r="Q99" s="4">
        <v>1</v>
      </c>
      <c r="R99" s="4">
        <v>0</v>
      </c>
      <c r="S99" s="4">
        <f t="shared" si="22"/>
        <v>98.5</v>
      </c>
      <c r="T99" s="4">
        <f t="shared" si="23"/>
        <v>0</v>
      </c>
      <c r="U99" s="4">
        <f t="shared" si="24"/>
        <v>71</v>
      </c>
      <c r="V99" s="4">
        <f t="shared" si="25"/>
        <v>0</v>
      </c>
      <c r="W99" s="4">
        <f t="shared" si="26"/>
        <v>0</v>
      </c>
      <c r="X99" s="4">
        <f t="shared" si="27"/>
        <v>1.3873239436619718</v>
      </c>
      <c r="Y99" s="4">
        <f t="shared" si="28"/>
        <v>173</v>
      </c>
      <c r="Z99" s="4">
        <f>SQRT(A99*(1-(88.9/Y99))^2+B99*(1-(138.9/Y99))^2+C99*(1-(140.1/Y99))^2+D99*(1-(140.9/Y99))^2+E99*(1-(144.2/Y99))^2+F99*(1-(150.3/Y99))^2+G99*(1-(152/Y99))^2+H99*(1-(157.3/Y99))^2+I99*(1-(158.9/Y99))^2+J99*(1-(162.5/Y99))^2+K99*(1-(164.9/Y99))^2+L99*(1-(167.3/Y99))^2+M99*(1-(173/Y99))^2+N99*(1-(175/Y99))^2)</f>
        <v>0</v>
      </c>
      <c r="AA99" s="4">
        <f t="shared" si="30"/>
        <v>178</v>
      </c>
      <c r="AB99" s="4">
        <f t="shared" si="31"/>
        <v>0</v>
      </c>
      <c r="AC99" s="4">
        <f t="shared" si="32"/>
        <v>0.9719101123595506</v>
      </c>
      <c r="AD99" s="4">
        <f t="shared" si="33"/>
        <v>0</v>
      </c>
      <c r="AE99" s="4">
        <f t="shared" si="41"/>
        <v>16</v>
      </c>
      <c r="AF99" s="4">
        <f t="shared" si="42"/>
        <v>0</v>
      </c>
      <c r="AG99" s="4">
        <f t="shared" si="43"/>
        <v>1.1000000000000001</v>
      </c>
      <c r="AH99" s="4">
        <f t="shared" si="44"/>
        <v>0</v>
      </c>
      <c r="AI99" s="4">
        <f t="shared" si="45"/>
        <v>1.3</v>
      </c>
      <c r="AJ99" s="4">
        <f t="shared" si="46"/>
        <v>0</v>
      </c>
      <c r="AK99" s="4">
        <v>0</v>
      </c>
    </row>
    <row r="100" spans="1:37" x14ac:dyDescent="0.2">
      <c r="A100" s="4">
        <v>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1</v>
      </c>
      <c r="M100" s="4">
        <v>0</v>
      </c>
      <c r="N100" s="4">
        <v>0</v>
      </c>
      <c r="O100" s="4">
        <v>0</v>
      </c>
      <c r="P100" s="4">
        <v>0</v>
      </c>
      <c r="Q100" s="4">
        <v>1</v>
      </c>
      <c r="R100" s="4">
        <v>0</v>
      </c>
      <c r="S100" s="4">
        <f t="shared" si="22"/>
        <v>100.2</v>
      </c>
      <c r="T100" s="4">
        <f t="shared" si="23"/>
        <v>0</v>
      </c>
      <c r="U100" s="4">
        <f t="shared" si="24"/>
        <v>71</v>
      </c>
      <c r="V100" s="4">
        <f t="shared" si="25"/>
        <v>0</v>
      </c>
      <c r="W100" s="4">
        <f t="shared" si="26"/>
        <v>0</v>
      </c>
      <c r="X100" s="4">
        <f t="shared" si="27"/>
        <v>1.4112676056338029</v>
      </c>
      <c r="Y100" s="4">
        <f t="shared" si="28"/>
        <v>167.3</v>
      </c>
      <c r="Z100" s="4">
        <f>SQRT(A100*(1-(88.9/Y100))^2+B100*(1-(138.9/Y100))^2+C100*(1-(140.1/Y100))^2+D100*(1-(140.9/Y100))^2+E100*(1-(144.2/Y100))^2+F100*(1-(150.3/Y100))^2+G100*(1-(152/Y100))^2+H100*(1-(157.3/Y100))^2+I100*(1-(158.9/Y100))^2+J100*(1-(162.5/Y100))^2+K100*(1-(164.9/Y100))^2+L100*(1-(167.3/Y100))^2+M100*(1-(173/Y100))^2+N100*(1-(175/Y100))^2)</f>
        <v>0</v>
      </c>
      <c r="AA100" s="4">
        <f t="shared" si="30"/>
        <v>178</v>
      </c>
      <c r="AB100" s="4">
        <f t="shared" si="31"/>
        <v>0</v>
      </c>
      <c r="AC100" s="4">
        <f t="shared" si="32"/>
        <v>0.93988764044943829</v>
      </c>
      <c r="AD100" s="4">
        <f t="shared" si="33"/>
        <v>0</v>
      </c>
      <c r="AE100" s="4">
        <f t="shared" si="41"/>
        <v>14</v>
      </c>
      <c r="AF100" s="4">
        <f t="shared" si="42"/>
        <v>0</v>
      </c>
      <c r="AG100" s="4">
        <f t="shared" si="43"/>
        <v>1.24</v>
      </c>
      <c r="AH100" s="4">
        <f t="shared" si="44"/>
        <v>0</v>
      </c>
      <c r="AI100" s="4">
        <f t="shared" si="45"/>
        <v>1.3</v>
      </c>
      <c r="AJ100" s="4">
        <f t="shared" si="46"/>
        <v>0</v>
      </c>
      <c r="AK100" s="4">
        <v>0</v>
      </c>
    </row>
    <row r="101" spans="1:37" x14ac:dyDescent="0.2">
      <c r="A101" s="4">
        <v>0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1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1</v>
      </c>
      <c r="R101" s="4">
        <v>0</v>
      </c>
      <c r="S101" s="4">
        <f t="shared" si="22"/>
        <v>101.5</v>
      </c>
      <c r="T101" s="4">
        <f t="shared" si="23"/>
        <v>0</v>
      </c>
      <c r="U101" s="4">
        <f t="shared" si="24"/>
        <v>71</v>
      </c>
      <c r="V101" s="4">
        <f t="shared" si="25"/>
        <v>0</v>
      </c>
      <c r="W101" s="4">
        <f t="shared" si="26"/>
        <v>0</v>
      </c>
      <c r="X101" s="4">
        <f t="shared" si="27"/>
        <v>1.4295774647887325</v>
      </c>
      <c r="Y101" s="4">
        <f>(A101*88.9+B101*138.9+C101*140.1+D101*140.9+E101*144.2+F101*150.3+G101*152+H101*157.3+I101*158.9+J101*162.5+K101*164.9+L101*167.3+M101*173+N101*175)/(SUM(A101:N101))</f>
        <v>164.9</v>
      </c>
      <c r="Z101" s="4">
        <f>SQRT(A101*(1-(88.9/Y101))^2+B101*(1-(138.9/Y101))^2+C101*(1-(140.1/Y101))^2+D101*(1-(140.9/Y101))^2+E101*(1-(144.2/Y101))^2+F101*(1-(150.3/Y101))^2+G101*(1-(152/Y101))^2+H101*(1-(157.3/Y101))^2+I101*(1-(158.9/Y101))^2+J101*(1-(162.5/Y101))^2+K101*(1-(164.9/Y101))^2+L101*(1-(167.3/Y101))^2+M101*(1-(173/Y101))^2+N101*(1-(175/Y101))^2)</f>
        <v>0</v>
      </c>
      <c r="AA101" s="4">
        <f t="shared" si="30"/>
        <v>178</v>
      </c>
      <c r="AB101" s="4">
        <f t="shared" si="31"/>
        <v>0</v>
      </c>
      <c r="AC101" s="4">
        <f t="shared" si="32"/>
        <v>0.92640449438202255</v>
      </c>
      <c r="AD101" s="4">
        <f t="shared" si="33"/>
        <v>0</v>
      </c>
      <c r="AE101" s="4">
        <f t="shared" si="41"/>
        <v>13</v>
      </c>
      <c r="AF101" s="4">
        <f t="shared" si="42"/>
        <v>0</v>
      </c>
      <c r="AG101" s="4">
        <f t="shared" si="43"/>
        <v>1.24</v>
      </c>
      <c r="AH101" s="4">
        <f t="shared" si="44"/>
        <v>0</v>
      </c>
      <c r="AI101" s="4">
        <f t="shared" si="45"/>
        <v>1.3</v>
      </c>
      <c r="AJ101" s="4">
        <f t="shared" si="46"/>
        <v>0</v>
      </c>
      <c r="AK101" s="4">
        <v>0</v>
      </c>
    </row>
    <row r="102" spans="1:37" x14ac:dyDescent="0.2">
      <c r="A102" s="4">
        <v>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1</v>
      </c>
      <c r="O102" s="4">
        <v>0</v>
      </c>
      <c r="P102" s="4">
        <v>1</v>
      </c>
      <c r="Q102" s="4">
        <v>0</v>
      </c>
      <c r="R102" s="4">
        <v>0</v>
      </c>
      <c r="S102" s="4">
        <f t="shared" si="22"/>
        <v>97.8</v>
      </c>
      <c r="T102" s="4">
        <f t="shared" si="23"/>
        <v>0</v>
      </c>
      <c r="U102" s="4">
        <f t="shared" si="24"/>
        <v>72</v>
      </c>
      <c r="V102" s="4">
        <f t="shared" si="25"/>
        <v>0</v>
      </c>
      <c r="W102" s="4">
        <f t="shared" si="26"/>
        <v>0</v>
      </c>
      <c r="X102" s="4">
        <f t="shared" si="27"/>
        <v>1.3583333333333334</v>
      </c>
      <c r="Y102" s="4">
        <f t="shared" ref="Y102:Y107" si="47">(A102*88.9+B102*138.9+C102*140.1+D102*140.9+E102*144.2+F102*150.3+G102*152+H102*157.3+I102*158.9+J102*162.5+K102*164.9+L102*167.3+M102*173+N102*175)/(SUM(A102:N102))</f>
        <v>175</v>
      </c>
      <c r="Z102" s="4">
        <f t="shared" ref="Z102:Z107" si="48">SQRT(A102*(1-(88.9/Y102))^2+B102*(1-(138.9/Y102))^2+C102*(1-(140.1/Y102))^2+D102*(1-(140.9/Y102))^2+E102*(1-(144.2/Y102))^2+F102*(1-(150.3/Y102))^2+G102*(1-(152/Y102))^2+H102*(1-(157.3/Y102))^2+I102*(1-(158.9/Y102))^2+J102*(1-(162.5/Y102))^2+K102*(1-(164.9/Y102))^2+L102*(1-(167.3/Y102))^2+M102*(1-(173/Y102))^2+N102*(1-(175/Y102))^2)</f>
        <v>0</v>
      </c>
      <c r="AA102" s="4">
        <f t="shared" ref="AA102:AA107" si="49">(O102*47.9+P102*91+Q102*178+R102*118.7)/(SUM(O102:R102))</f>
        <v>91</v>
      </c>
      <c r="AB102" s="4">
        <f t="shared" ref="AB102:AB107" si="50">SQRT(O102*(1-(47.9/AA102))^2+P102*(1-(91/AA102))^2+Q102*(1-(178/AA102))^2+R102*(1-(118.7/AA102))^2)</f>
        <v>0</v>
      </c>
      <c r="AC102" s="4">
        <f t="shared" ref="AC102:AC107" si="51">Y102/AA102</f>
        <v>1.9230769230769231</v>
      </c>
      <c r="AD102" s="4">
        <f t="shared" ref="AD102:AD107" si="52">SQRT(Z102^2+AB102^2)</f>
        <v>0</v>
      </c>
      <c r="AE102" s="4">
        <f t="shared" ref="AE102:AE107" si="53">(A102*3+B102*3+C102*4+D102*5+E102*6+F102*8+G102*9+H102*10+I102*11+J102*12+K102*13+L102*14+M102*16+N102*3)/(SUM(A102:N102))</f>
        <v>3</v>
      </c>
      <c r="AF102" s="4">
        <f t="shared" ref="AF102:AF107" si="54">SQRT(A102*(1-(3/AE102))^2+B102*(1-(3/AE102))^2+C102*(1-(4/AE102))^2+D102*(1-(5/AE102))^2+E102*(1-(6/AE102))^2+F102*(1-(8/AE102))^2+G102*(1-(9/AE102))^2+H102*(1-(10/AE102))^2+I102*(1-(11/AE102))^2+J102*(1-(12/AE102))^2+K102*(1-(13/AE102))^2+L102*(1-(14/AE102))^2+M102*(1-(16/AE102))^2+N102*(1-(3/AE102))^2)</f>
        <v>0</v>
      </c>
      <c r="AG102" s="4">
        <f t="shared" ref="AG102:AG107" si="55">(A102*1.22+B102*1.1+C102*1.12+D102*1.13+E102*1.14+F102*1.17+G102*1.2+H102*1.2+I102*1.22+J102*1.23+K102*1.24+L102*1.24+M102*1.1+N102*1.27)/(SUM(A102:N102))</f>
        <v>1.27</v>
      </c>
      <c r="AH102" s="4">
        <f t="shared" ref="AH102:AH107" si="56">SQRT(A102*(1-(1.22/AG102))^2+B102*(1-(1.1/AG102))^2+C102*(1-(1.12/AG102))^2+D102*(1-(1.13/AG102))^2+E102*(1-(1.14/AG102))^2+F102*(1-(1.17/AG102))^2+G102*(1-(1.2/AG102))^2+H102*(1-(1.2/AG102))^2+I102*(1-(1.22/AG102))^2+J102*(1-(1.23/AG102))^2+K102*(1-(1.24/AG102))^2+L102*(1-(1.24/AG102))^2+M102*(1-(1.1/AG102))^2+N102*(1-(1.27/AG102))^2)</f>
        <v>0</v>
      </c>
      <c r="AI102" s="4">
        <f t="shared" ref="AI102:AI107" si="57">(O102*1.54+P102*1.33+Q102*1.3+R102*1.96)/(SUM(O102:R102))</f>
        <v>1.33</v>
      </c>
      <c r="AJ102" s="4">
        <f t="shared" ref="AJ102:AJ107" si="58">SQRT(O102*(1-(1.54/AI102))^2+P102*(1-(1.33/AI102))^2+Q102*(1-(1.3/AI102))^2+R102*(1-(1.96/AI102))^2)</f>
        <v>0</v>
      </c>
      <c r="AK102" s="4">
        <v>0</v>
      </c>
    </row>
    <row r="103" spans="1:37" x14ac:dyDescent="0.2">
      <c r="A103" s="4">
        <v>0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1</v>
      </c>
      <c r="N103" s="4">
        <v>0</v>
      </c>
      <c r="O103" s="4">
        <v>0</v>
      </c>
      <c r="P103" s="4">
        <v>1</v>
      </c>
      <c r="Q103" s="4">
        <v>0</v>
      </c>
      <c r="R103" s="4">
        <v>0</v>
      </c>
      <c r="S103" s="4">
        <f t="shared" si="22"/>
        <v>98.5</v>
      </c>
      <c r="T103" s="4">
        <f t="shared" si="23"/>
        <v>0</v>
      </c>
      <c r="U103" s="4">
        <f t="shared" si="24"/>
        <v>72</v>
      </c>
      <c r="V103" s="4">
        <f t="shared" si="25"/>
        <v>0</v>
      </c>
      <c r="W103" s="4">
        <f t="shared" si="26"/>
        <v>0</v>
      </c>
      <c r="X103" s="4">
        <f t="shared" si="27"/>
        <v>1.3680555555555556</v>
      </c>
      <c r="Y103" s="4">
        <f t="shared" si="47"/>
        <v>173</v>
      </c>
      <c r="Z103" s="4">
        <f t="shared" si="48"/>
        <v>0</v>
      </c>
      <c r="AA103" s="4">
        <f t="shared" si="49"/>
        <v>91</v>
      </c>
      <c r="AB103" s="4">
        <f t="shared" si="50"/>
        <v>0</v>
      </c>
      <c r="AC103" s="4">
        <f t="shared" si="51"/>
        <v>1.901098901098901</v>
      </c>
      <c r="AD103" s="4">
        <f t="shared" si="52"/>
        <v>0</v>
      </c>
      <c r="AE103" s="4">
        <f t="shared" si="53"/>
        <v>16</v>
      </c>
      <c r="AF103" s="4">
        <f t="shared" si="54"/>
        <v>0</v>
      </c>
      <c r="AG103" s="4">
        <f t="shared" si="55"/>
        <v>1.1000000000000001</v>
      </c>
      <c r="AH103" s="4">
        <f t="shared" si="56"/>
        <v>0</v>
      </c>
      <c r="AI103" s="4">
        <f t="shared" si="57"/>
        <v>1.33</v>
      </c>
      <c r="AJ103" s="4">
        <f t="shared" si="58"/>
        <v>0</v>
      </c>
      <c r="AK103" s="4">
        <v>0</v>
      </c>
    </row>
    <row r="104" spans="1:37" x14ac:dyDescent="0.2">
      <c r="A104" s="4">
        <v>0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1</v>
      </c>
      <c r="M104" s="4">
        <v>0</v>
      </c>
      <c r="N104" s="4">
        <v>0</v>
      </c>
      <c r="O104" s="4">
        <v>0</v>
      </c>
      <c r="P104" s="4">
        <v>1</v>
      </c>
      <c r="Q104" s="4">
        <v>0</v>
      </c>
      <c r="R104" s="4">
        <v>0</v>
      </c>
      <c r="S104" s="4">
        <f t="shared" si="22"/>
        <v>100.2</v>
      </c>
      <c r="T104" s="4">
        <f t="shared" si="23"/>
        <v>0</v>
      </c>
      <c r="U104" s="4">
        <f t="shared" si="24"/>
        <v>72</v>
      </c>
      <c r="V104" s="4">
        <f t="shared" si="25"/>
        <v>0</v>
      </c>
      <c r="W104" s="4">
        <f t="shared" si="26"/>
        <v>0</v>
      </c>
      <c r="X104" s="4">
        <f t="shared" si="27"/>
        <v>1.3916666666666666</v>
      </c>
      <c r="Y104" s="4">
        <f t="shared" si="47"/>
        <v>167.3</v>
      </c>
      <c r="Z104" s="4">
        <f t="shared" si="48"/>
        <v>0</v>
      </c>
      <c r="AA104" s="4">
        <f t="shared" si="49"/>
        <v>91</v>
      </c>
      <c r="AB104" s="4">
        <f t="shared" si="50"/>
        <v>0</v>
      </c>
      <c r="AC104" s="4">
        <f t="shared" si="51"/>
        <v>1.8384615384615386</v>
      </c>
      <c r="AD104" s="4">
        <f t="shared" si="52"/>
        <v>0</v>
      </c>
      <c r="AE104" s="4">
        <f t="shared" si="53"/>
        <v>14</v>
      </c>
      <c r="AF104" s="4">
        <f t="shared" si="54"/>
        <v>0</v>
      </c>
      <c r="AG104" s="4">
        <f t="shared" si="55"/>
        <v>1.24</v>
      </c>
      <c r="AH104" s="4">
        <f t="shared" si="56"/>
        <v>0</v>
      </c>
      <c r="AI104" s="4">
        <f t="shared" si="57"/>
        <v>1.33</v>
      </c>
      <c r="AJ104" s="4">
        <f t="shared" si="58"/>
        <v>0</v>
      </c>
      <c r="AK104" s="4">
        <v>0</v>
      </c>
    </row>
    <row r="105" spans="1:37" x14ac:dyDescent="0.2">
      <c r="A105" s="4">
        <v>0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1</v>
      </c>
      <c r="L105" s="4">
        <v>0</v>
      </c>
      <c r="M105" s="4">
        <v>0</v>
      </c>
      <c r="N105" s="4">
        <v>0</v>
      </c>
      <c r="O105" s="4">
        <v>0</v>
      </c>
      <c r="P105" s="4">
        <v>1</v>
      </c>
      <c r="Q105" s="4">
        <v>0</v>
      </c>
      <c r="R105" s="4">
        <v>0</v>
      </c>
      <c r="S105" s="4">
        <f t="shared" si="22"/>
        <v>101.5</v>
      </c>
      <c r="T105" s="4">
        <f t="shared" si="23"/>
        <v>0</v>
      </c>
      <c r="U105" s="4">
        <f t="shared" si="24"/>
        <v>72</v>
      </c>
      <c r="V105" s="4">
        <f t="shared" si="25"/>
        <v>0</v>
      </c>
      <c r="W105" s="4">
        <f t="shared" si="26"/>
        <v>0</v>
      </c>
      <c r="X105" s="4">
        <f t="shared" si="27"/>
        <v>1.4097222222222223</v>
      </c>
      <c r="Y105" s="4">
        <f t="shared" si="47"/>
        <v>164.9</v>
      </c>
      <c r="Z105" s="4">
        <f t="shared" si="48"/>
        <v>0</v>
      </c>
      <c r="AA105" s="4">
        <f t="shared" si="49"/>
        <v>91</v>
      </c>
      <c r="AB105" s="4">
        <f t="shared" si="50"/>
        <v>0</v>
      </c>
      <c r="AC105" s="4">
        <f t="shared" si="51"/>
        <v>1.8120879120879121</v>
      </c>
      <c r="AD105" s="4">
        <f t="shared" si="52"/>
        <v>0</v>
      </c>
      <c r="AE105" s="4">
        <f t="shared" si="53"/>
        <v>13</v>
      </c>
      <c r="AF105" s="4">
        <f t="shared" si="54"/>
        <v>0</v>
      </c>
      <c r="AG105" s="4">
        <f t="shared" si="55"/>
        <v>1.24</v>
      </c>
      <c r="AH105" s="4">
        <f t="shared" si="56"/>
        <v>0</v>
      </c>
      <c r="AI105" s="4">
        <f t="shared" si="57"/>
        <v>1.33</v>
      </c>
      <c r="AJ105" s="4">
        <f t="shared" si="58"/>
        <v>0</v>
      </c>
      <c r="AK105" s="4">
        <v>0</v>
      </c>
    </row>
    <row r="106" spans="1:37" x14ac:dyDescent="0.2">
      <c r="A106" s="4">
        <v>0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1</v>
      </c>
      <c r="Q106" s="4">
        <v>0</v>
      </c>
      <c r="R106" s="4">
        <v>0</v>
      </c>
      <c r="S106" s="4">
        <f t="shared" si="22"/>
        <v>102.7</v>
      </c>
      <c r="T106" s="4">
        <f t="shared" si="23"/>
        <v>0</v>
      </c>
      <c r="U106" s="4">
        <f t="shared" si="24"/>
        <v>72</v>
      </c>
      <c r="V106" s="4">
        <f t="shared" si="25"/>
        <v>0</v>
      </c>
      <c r="W106" s="4">
        <f t="shared" si="26"/>
        <v>0</v>
      </c>
      <c r="X106" s="4">
        <f t="shared" si="27"/>
        <v>1.4263888888888889</v>
      </c>
      <c r="Y106" s="4">
        <f t="shared" si="47"/>
        <v>162.5</v>
      </c>
      <c r="Z106" s="4">
        <f t="shared" si="48"/>
        <v>0</v>
      </c>
      <c r="AA106" s="4">
        <f t="shared" si="49"/>
        <v>91</v>
      </c>
      <c r="AB106" s="4">
        <f t="shared" si="50"/>
        <v>0</v>
      </c>
      <c r="AC106" s="4">
        <f t="shared" si="51"/>
        <v>1.7857142857142858</v>
      </c>
      <c r="AD106" s="4">
        <f t="shared" si="52"/>
        <v>0</v>
      </c>
      <c r="AE106" s="4">
        <f t="shared" si="53"/>
        <v>12</v>
      </c>
      <c r="AF106" s="4">
        <f t="shared" si="54"/>
        <v>0</v>
      </c>
      <c r="AG106" s="4">
        <f t="shared" si="55"/>
        <v>1.23</v>
      </c>
      <c r="AH106" s="4">
        <f t="shared" si="56"/>
        <v>0</v>
      </c>
      <c r="AI106" s="4">
        <f t="shared" si="57"/>
        <v>1.33</v>
      </c>
      <c r="AJ106" s="4">
        <f t="shared" si="58"/>
        <v>0</v>
      </c>
      <c r="AK106" s="4">
        <v>0</v>
      </c>
    </row>
    <row r="107" spans="1:37" x14ac:dyDescent="0.2">
      <c r="A107" s="4">
        <v>0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1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1</v>
      </c>
      <c r="Q107" s="4">
        <v>0</v>
      </c>
      <c r="R107" s="4">
        <v>0</v>
      </c>
      <c r="S107" s="4">
        <f t="shared" si="22"/>
        <v>104</v>
      </c>
      <c r="T107" s="4">
        <f t="shared" si="23"/>
        <v>0</v>
      </c>
      <c r="U107" s="4">
        <f t="shared" si="24"/>
        <v>72</v>
      </c>
      <c r="V107" s="4">
        <f t="shared" si="25"/>
        <v>0</v>
      </c>
      <c r="W107" s="4">
        <f t="shared" si="26"/>
        <v>0</v>
      </c>
      <c r="X107" s="4">
        <f t="shared" si="27"/>
        <v>1.4444444444444444</v>
      </c>
      <c r="Y107" s="4">
        <f t="shared" si="47"/>
        <v>158.9</v>
      </c>
      <c r="Z107" s="4">
        <f t="shared" si="48"/>
        <v>0</v>
      </c>
      <c r="AA107" s="4">
        <f t="shared" si="49"/>
        <v>91</v>
      </c>
      <c r="AB107" s="4">
        <f t="shared" si="50"/>
        <v>0</v>
      </c>
      <c r="AC107" s="4">
        <f t="shared" si="51"/>
        <v>1.7461538461538462</v>
      </c>
      <c r="AD107" s="4">
        <f t="shared" si="52"/>
        <v>0</v>
      </c>
      <c r="AE107" s="4">
        <f t="shared" si="53"/>
        <v>11</v>
      </c>
      <c r="AF107" s="4">
        <f t="shared" si="54"/>
        <v>0</v>
      </c>
      <c r="AG107" s="4">
        <f t="shared" si="55"/>
        <v>1.22</v>
      </c>
      <c r="AH107" s="4">
        <f t="shared" si="56"/>
        <v>0</v>
      </c>
      <c r="AI107" s="4">
        <f t="shared" si="57"/>
        <v>1.33</v>
      </c>
      <c r="AJ107" s="4">
        <f t="shared" si="58"/>
        <v>0</v>
      </c>
      <c r="AK107" s="4">
        <v>0</v>
      </c>
    </row>
  </sheetData>
  <sortState xmlns:xlrd2="http://schemas.microsoft.com/office/spreadsheetml/2017/richdata2" ref="A2:AK100">
    <sortCondition ref="F1"/>
  </sortState>
  <phoneticPr fontId="2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b40c61-3c53-4a48-b758-2523586f7a0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539CAD73DB4947A90C3DD37028D811" ma:contentTypeVersion="18" ma:contentTypeDescription="Create a new document." ma:contentTypeScope="" ma:versionID="f91c5aa2c484e47a2943910ec71194b5">
  <xsd:schema xmlns:xsd="http://www.w3.org/2001/XMLSchema" xmlns:xs="http://www.w3.org/2001/XMLSchema" xmlns:p="http://schemas.microsoft.com/office/2006/metadata/properties" xmlns:ns3="2bb40c61-3c53-4a48-b758-2523586f7a06" xmlns:ns4="5f2b1250-7deb-40d7-8392-729dd9b26943" targetNamespace="http://schemas.microsoft.com/office/2006/metadata/properties" ma:root="true" ma:fieldsID="b1bb65bbead9bee1c1e0aa1c7ffb233e" ns3:_="" ns4:_="">
    <xsd:import namespace="2bb40c61-3c53-4a48-b758-2523586f7a06"/>
    <xsd:import namespace="5f2b1250-7deb-40d7-8392-729dd9b2694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40c61-3c53-4a48-b758-2523586f7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b1250-7deb-40d7-8392-729dd9b2694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F3448D-6341-47B4-88DF-15341439D4FE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5f2b1250-7deb-40d7-8392-729dd9b26943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2bb40c61-3c53-4a48-b758-2523586f7a0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8B8A7AF-6EF6-4721-8059-68C9482F38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574B4F-5AC6-4092-A8EB-D5BD04E6B1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b40c61-3c53-4a48-b758-2523586f7a06"/>
    <ds:schemaRef ds:uri="5f2b1250-7deb-40d7-8392-729dd9b269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莎莎 黄</cp:lastModifiedBy>
  <dcterms:created xsi:type="dcterms:W3CDTF">2024-05-12T13:31:58Z</dcterms:created>
  <dcterms:modified xsi:type="dcterms:W3CDTF">2026-05-02T08:38:32Z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0x010100EF539CAD73DB4947A90C3DD37028D811</vt:lpwstr>
  </property>
</Properties>
</file>